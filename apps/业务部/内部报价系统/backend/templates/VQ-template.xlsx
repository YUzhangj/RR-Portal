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Vendor Quotation" sheetId="1" r:id="rId1"/>
    <sheet name="Body Cost Breakdown" sheetId="8" r:id="rId2"/>
    <sheet name="List" sheetId="5" r:id="rId3"/>
  </sheets>
  <definedNames>
    <definedName name="_xlnm.Print_Titles" localSheetId="0">'Vendor Quotation'!$1:$8</definedName>
    <definedName name="_xlnm.Print_Titles" localSheetId="1">'Body Cost Breakdown'!$1:$10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<sst xmlns="http://schemas.openxmlformats.org/spreadsheetml/2006/main" count="351" uniqueCount="257">
  <si>
    <t xml:space="preserve">Vendor:  </t>
  </si>
  <si>
    <t xml:space="preserve">ROYAL REGENT PRODUCTS (H.K.) LIMITED </t>
  </si>
  <si>
    <t xml:space="preserve">Prepared By:  </t>
  </si>
  <si>
    <t>King</t>
  </si>
  <si>
    <t xml:space="preserve">Item No.:  </t>
  </si>
  <si>
    <t xml:space="preserve">Quote Date:  </t>
  </si>
  <si>
    <t xml:space="preserve">Item Desc.:  </t>
  </si>
  <si>
    <t>Big Farm</t>
  </si>
  <si>
    <t xml:space="preserve">Quote Rev.:  </t>
  </si>
  <si>
    <t xml:space="preserve">Item Rev.:  </t>
  </si>
  <si>
    <t xml:space="preserve">Fty Delivery Date:  </t>
  </si>
  <si>
    <t>VENDOR QUOTATION</t>
  </si>
  <si>
    <t>A.  MOLD PART (BODY) / PART SET (UNIT) COST LIST (INCLUDING MARK UP)</t>
  </si>
  <si>
    <t>Mold Part (Body)  / Part Set (Unit)  No.</t>
  </si>
  <si>
    <t>Mold Part (Body) / Part Set (Unit) Descriptions</t>
  </si>
  <si>
    <t>MOQ</t>
  </si>
  <si>
    <t>Usage/Toy</t>
  </si>
  <si>
    <t>Unit Cost
 (HK$)</t>
  </si>
  <si>
    <t>Amount (HK$)</t>
  </si>
  <si>
    <t>TOMY Official Body Cost Approval (HK$)</t>
  </si>
  <si>
    <t>47712-00</t>
  </si>
  <si>
    <t>6" JD Sandbox Tractor with Loader</t>
  </si>
  <si>
    <t>BAT-EHD3A</t>
  </si>
  <si>
    <t>AAA GP</t>
  </si>
  <si>
    <t>B. PACKAGING MATERIALS &amp; PACKING LABOUR COST</t>
  </si>
  <si>
    <t>PM No.</t>
  </si>
  <si>
    <t>Part Descriptions</t>
  </si>
  <si>
    <t>Specifications</t>
  </si>
  <si>
    <t xml:space="preserve">Open Box </t>
  </si>
  <si>
    <t>21"*12.75"*11.5" 300GSM CCNB+E-F 5C FSC</t>
  </si>
  <si>
    <t>Insert Card</t>
  </si>
  <si>
    <t>300gsm CCNB+E-F 4C FSC</t>
  </si>
  <si>
    <t>Bister tray</t>
  </si>
  <si>
    <t>1SET/2PCS,PET#28</t>
  </si>
  <si>
    <t>Card （底卡）</t>
  </si>
  <si>
    <t xml:space="preserve"> 20.5"*12.25" A=A</t>
  </si>
  <si>
    <t>Paper string</t>
  </si>
  <si>
    <t>Gasket</t>
  </si>
  <si>
    <t>OPP Bangage</t>
  </si>
  <si>
    <t>纸箱平卡</t>
  </si>
  <si>
    <t>子母扣</t>
  </si>
  <si>
    <t>Accessories</t>
  </si>
  <si>
    <t>Packing Labour</t>
  </si>
  <si>
    <t>Mark Up</t>
  </si>
  <si>
    <t>C. VENDOR INTER PURCHASE PARTS</t>
  </si>
  <si>
    <t>Unit No.</t>
  </si>
  <si>
    <t>Unit Descriptions</t>
  </si>
  <si>
    <t>Inter Purchase Vendor</t>
  </si>
  <si>
    <t>Usage/pc</t>
  </si>
  <si>
    <t>Unit Cost (HK$)</t>
  </si>
  <si>
    <t>Inter-Purchase Handling (%)</t>
  </si>
  <si>
    <t>D. MASTER CARTON</t>
  </si>
  <si>
    <t>Part Desc.</t>
  </si>
  <si>
    <t>Dimension L*W*H (inch)</t>
  </si>
  <si>
    <t>Paper</t>
  </si>
  <si>
    <t>Case Pack</t>
  </si>
  <si>
    <t>Polybag</t>
  </si>
  <si>
    <t>Inner</t>
  </si>
  <si>
    <t>Master Carton</t>
  </si>
  <si>
    <t>E.  TRANSPORTATION</t>
  </si>
  <si>
    <t>Port Location</t>
  </si>
  <si>
    <t>Cu.Ft./Toy</t>
  </si>
  <si>
    <t>Cost</t>
  </si>
  <si>
    <t>Ex-Factory</t>
  </si>
  <si>
    <t>FOB FCL</t>
  </si>
  <si>
    <t>FOB LCL</t>
  </si>
  <si>
    <t>Semarang ID/ HK</t>
  </si>
  <si>
    <t>Trans Cost Parameter</t>
  </si>
  <si>
    <t>Trans Cost</t>
  </si>
  <si>
    <t xml:space="preserve">VENDOR REMARKS </t>
  </si>
  <si>
    <t>Quote Rev.</t>
  </si>
  <si>
    <t>Remarks</t>
  </si>
  <si>
    <t>Upd Date</t>
  </si>
  <si>
    <t>VENDOR COST SUMMARY</t>
  </si>
  <si>
    <t>Trade Term</t>
  </si>
  <si>
    <t>Cost Type</t>
  </si>
  <si>
    <t>Standard</t>
  </si>
  <si>
    <t>2.5K</t>
  </si>
  <si>
    <t>5K</t>
  </si>
  <si>
    <t>10K</t>
  </si>
  <si>
    <t>15K</t>
  </si>
  <si>
    <t>COST CONFIRAMTION - TOMY OFFICIAL USE ONLY</t>
  </si>
  <si>
    <t>Standard (US$)</t>
  </si>
  <si>
    <t>Premium (US$)</t>
  </si>
  <si>
    <t>Special Volume (US$)</t>
  </si>
  <si>
    <t xml:space="preserve">  Cost Approval
  For and on behalf of:
  Tomy (Hong Kong) Limited
</t>
  </si>
  <si>
    <t>Updated By</t>
  </si>
  <si>
    <t>Checked By</t>
  </si>
  <si>
    <t>Canice Yip / Ruby Dai
Date:</t>
  </si>
  <si>
    <t xml:space="preserve">  Notes:  Cost confirmed based on major printer matter</t>
  </si>
  <si>
    <t>TOMY Remarks:</t>
  </si>
  <si>
    <t>MOLD PART (BODY) COST BREAKDOWN</t>
  </si>
  <si>
    <t>Body No.</t>
  </si>
  <si>
    <t>Body Descriptions</t>
  </si>
  <si>
    <t>Body Cost Revsion</t>
  </si>
  <si>
    <t>Vendor</t>
  </si>
  <si>
    <t>Prepared By</t>
  </si>
  <si>
    <t>Date</t>
  </si>
  <si>
    <t>Royal Regent</t>
  </si>
  <si>
    <t>Michelle</t>
  </si>
  <si>
    <t>MOLD PART (BODY) COST SUMMARY</t>
  </si>
  <si>
    <t>Descriptions</t>
  </si>
  <si>
    <t>Sub Total</t>
  </si>
  <si>
    <t>Mark Up (%)</t>
  </si>
  <si>
    <t>% to Body Cost</t>
  </si>
  <si>
    <t>A</t>
  </si>
  <si>
    <t>Raw Material Cost</t>
  </si>
  <si>
    <t>B</t>
  </si>
  <si>
    <t>Molding Labour Cost</t>
  </si>
  <si>
    <t>C</t>
  </si>
  <si>
    <t>Purchase Parts Cost</t>
  </si>
  <si>
    <t>D</t>
  </si>
  <si>
    <t>Expensive Component(s) Cost</t>
  </si>
  <si>
    <t>E</t>
  </si>
  <si>
    <t>Other Labour &amp; Process</t>
  </si>
  <si>
    <t>1.  Decoration</t>
  </si>
  <si>
    <t>2.  Trimming &amp; Degating</t>
  </si>
  <si>
    <t>3.  Sewing</t>
  </si>
  <si>
    <t>4.  Others</t>
  </si>
  <si>
    <t>TOTAL BODY COST</t>
  </si>
  <si>
    <t>A.  RAW MATERIAL COSTS</t>
  </si>
  <si>
    <t>Material Descriptions</t>
  </si>
  <si>
    <t>Usage</t>
  </si>
  <si>
    <t>Unit Cost</t>
  </si>
  <si>
    <t>Amount</t>
  </si>
  <si>
    <t>PLASTIC / RESIN</t>
  </si>
  <si>
    <t>(KG)</t>
  </si>
  <si>
    <t>(Gram/Toy)</t>
  </si>
  <si>
    <t>(HK$ / KG)</t>
  </si>
  <si>
    <t>(HK$/TOY)</t>
  </si>
  <si>
    <t>ABS</t>
  </si>
  <si>
    <t>PP</t>
  </si>
  <si>
    <t>PCTG</t>
  </si>
  <si>
    <t>PVC</t>
  </si>
  <si>
    <t>ALLOY</t>
  </si>
  <si>
    <t>ZINC ALLOY</t>
  </si>
  <si>
    <t>ALUMINUM</t>
  </si>
  <si>
    <t>FABRIC (Detailed spec. needed)</t>
  </si>
  <si>
    <t>(YD)</t>
  </si>
  <si>
    <t>(YD /TOY)</t>
  </si>
  <si>
    <t>(HK$ / YD)</t>
  </si>
  <si>
    <t xml:space="preserve">  (HK$ / TOY)</t>
  </si>
  <si>
    <t xml:space="preserve"> </t>
  </si>
  <si>
    <t>A.  TOTAL RAW MATERIAL COST</t>
  </si>
  <si>
    <t>B.  MOLDING LABOURR</t>
  </si>
  <si>
    <t>Mold Type</t>
  </si>
  <si>
    <t>M/C Size</t>
  </si>
  <si>
    <t>Shot/Toy</t>
  </si>
  <si>
    <t>Cost/Shot (HK$)</t>
  </si>
  <si>
    <t>Sub Total
 (HK$)</t>
  </si>
  <si>
    <t>DIE CASTING</t>
  </si>
  <si>
    <t>INJECTION MOLDING</t>
  </si>
  <si>
    <t>47712-P01</t>
  </si>
  <si>
    <t>履带轮架/履带轮架配件</t>
  </si>
  <si>
    <t>20A</t>
  </si>
  <si>
    <t>47712-P02</t>
  </si>
  <si>
    <t>履带大轮/履带小轮柱/履带小轮孔</t>
  </si>
  <si>
    <t>47712-P03</t>
  </si>
  <si>
    <t>后沙板盖/后沙板盖扶手/后沙板盖配件/后沙板盖底座/后沙板盖底座连杆/后沙板盖底座连杆拆件/左挡板/右挡板</t>
  </si>
  <si>
    <t>14A</t>
  </si>
  <si>
    <t>47712-P04</t>
  </si>
  <si>
    <t>履带</t>
  </si>
  <si>
    <t>24A</t>
  </si>
  <si>
    <t>47712-P05</t>
  </si>
  <si>
    <t>后沙板盖顶/后沙板盖配件</t>
  </si>
  <si>
    <t>RC01275</t>
  </si>
  <si>
    <t>引擎盖前铰固定支架/引擎盖前铰上板/引擎盖前铰下板/引擎盖后铰固定支架/引擎盖后铰/车门/右头灯/左头灯</t>
  </si>
  <si>
    <t>RC01276</t>
  </si>
  <si>
    <t>车顶/头盖/GPS灯</t>
  </si>
  <si>
    <t>RC07241</t>
  </si>
  <si>
    <t>后沙板油箱/水箱前/水箱后</t>
  </si>
  <si>
    <t>RC07242</t>
  </si>
  <si>
    <t>后沙板/后油箱底板/后油箱油嘴/前车身底板/左油箱正面板/右油箱正面板/后油箱前面板&amp;扶手</t>
  </si>
  <si>
    <t>RC07244</t>
  </si>
  <si>
    <t>PTO盒/PTO罩/关节地台/关节油隔/尾液压罩/液压阀/驾驶室尾板/右油箱油嘴/右灯杯/左灯杯/唧筒支架</t>
  </si>
  <si>
    <t>RC07246</t>
  </si>
  <si>
    <t>左油箱/左油箱尾板/左油箱平台/右油箱/右油箱通风面板/车头右螺丝盖</t>
  </si>
  <si>
    <t>T7387</t>
  </si>
  <si>
    <t>内车顶/尾钩架/尾钩片/电池门/烟囱1/烟囱2/引擎盖固定架/方向盘/方向盘座/前铲架配重面/前铲架配重底/烟筒头/方向盘底座/较柱/后车身连接柱/左沙板连接片</t>
  </si>
  <si>
    <t>1809-46794-P01</t>
  </si>
  <si>
    <t>前左车身/前右车身/后左车身/后右车身</t>
  </si>
  <si>
    <t>40A</t>
  </si>
  <si>
    <t>1809-46794-P02</t>
  </si>
  <si>
    <t>驾驶室</t>
  </si>
  <si>
    <t>1809-46794-P03</t>
  </si>
  <si>
    <t>驾驶室左前灯/驾驶室右前灯/驾驶室左后灯/驾驶室右后灯/车窗/左头灯/右头灯</t>
  </si>
  <si>
    <t>1809-46794-P04</t>
  </si>
  <si>
    <t>唧杆/前负重上/前负重下/驱动轴罩顶/驱动轴罩底/楼梯/唧筒/收集板/尾勾/尾勾片</t>
  </si>
  <si>
    <t>1809-46794-P05</t>
  </si>
  <si>
    <t>驾驶室顶板/DEF面板/DEF油嘴/鬼面罩/工具箱/电池门/喇叭压片</t>
  </si>
  <si>
    <t>1809-46794-P06</t>
  </si>
  <si>
    <t>内饰/监视器/表板/驾驶杆及转向柱上/指导员座椅/座椅靠背/方向盘/</t>
  </si>
  <si>
    <t>1809-46794-P07</t>
  </si>
  <si>
    <t>驾驶室顶/按钮/GPS装置/收集器/左枢轴/右枢轴</t>
  </si>
  <si>
    <t>1809-46794-P08</t>
  </si>
  <si>
    <t>烟罐前/烟罐后/烟囱/烟囱上/风隔内/风隔外/风隔粗管/风隔细管/枢轴套筒</t>
  </si>
  <si>
    <t>BLOW MOLDING</t>
  </si>
  <si>
    <t>B.  TOTAL MOLDING LABOUR COST</t>
  </si>
  <si>
    <t>C.  PURCHASE PARTS</t>
  </si>
  <si>
    <t>Part Descriptions &amp; Specifications</t>
  </si>
  <si>
    <t>UOM</t>
  </si>
  <si>
    <t>ELECTRONIC COMPONENTS</t>
  </si>
  <si>
    <t>IC</t>
  </si>
  <si>
    <t>pc</t>
  </si>
  <si>
    <t>PCBA</t>
  </si>
  <si>
    <t>SEWING ACCESSORIES</t>
  </si>
  <si>
    <t>OTHER COMPONENTS</t>
  </si>
  <si>
    <t>唧筒铆钉2.0 X 15 D=4.0*1.0</t>
  </si>
  <si>
    <t>pcs</t>
  </si>
  <si>
    <t>车头盖铆钉 2.0 X 24 D=4.0*1.0</t>
  </si>
  <si>
    <t>车头盖铆钉 2.0 X 38 D=4.0*1.0</t>
  </si>
  <si>
    <r>
      <rPr>
        <sz val="12"/>
        <rFont val="宋体"/>
        <charset val="134"/>
      </rPr>
      <t>小轮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D=7.5*1.0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</si>
  <si>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大轮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D=10*1.5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</si>
  <si>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双花轮轴</t>
    </r>
    <r>
      <rPr>
        <sz val="12"/>
        <rFont val="Arial"/>
        <charset val="134"/>
      </rPr>
      <t xml:space="preserve">6.0*140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</si>
  <si>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2.0*13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</si>
  <si>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2.0*22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</si>
  <si>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右身烟囱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3.0*20 D=7*1.0 </t>
    </r>
    <r>
      <rPr>
        <sz val="12"/>
        <rFont val="宋体"/>
        <charset val="134"/>
      </rPr>
      <t>电锌</t>
    </r>
  </si>
  <si>
    <t>螺丝 PB2.6*8MM 铁 电锌</t>
  </si>
  <si>
    <r>
      <rPr>
        <sz val="12"/>
        <rFont val="宋体"/>
        <charset val="134"/>
      </rPr>
      <t>螺丝</t>
    </r>
    <r>
      <rPr>
        <sz val="12"/>
        <rFont val="Arial"/>
        <charset val="134"/>
      </rPr>
      <t xml:space="preserve"> PB2.6*12MM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</si>
  <si>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2.6*8 D8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</si>
  <si>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2.6*10 D8</t>
    </r>
  </si>
  <si>
    <r>
      <rPr>
        <sz val="12"/>
        <rFont val="Arial"/>
        <charset val="134"/>
      </rPr>
      <t>PM2.6*8</t>
    </r>
    <r>
      <rPr>
        <sz val="12"/>
        <rFont val="宋体"/>
        <charset val="134"/>
      </rPr>
      <t>半机牙螺丝</t>
    </r>
  </si>
  <si>
    <r>
      <rPr>
        <sz val="12"/>
        <rFont val="Arial"/>
        <charset val="134"/>
      </rPr>
      <t>M2.6</t>
    </r>
    <r>
      <rPr>
        <sz val="12"/>
        <rFont val="宋体"/>
        <charset val="134"/>
      </rPr>
      <t>螺母</t>
    </r>
  </si>
  <si>
    <r>
      <rPr>
        <sz val="12"/>
        <rFont val="宋体"/>
        <charset val="134"/>
      </rPr>
      <t>电池正片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Positive plate of the battery</t>
    </r>
  </si>
  <si>
    <r>
      <rPr>
        <sz val="12"/>
        <rFont val="宋体"/>
        <charset val="134"/>
      </rPr>
      <t>电池负片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Negative plate of the battery</t>
    </r>
  </si>
  <si>
    <t>PET介子</t>
  </si>
  <si>
    <t>电镀件electroplated parts</t>
  </si>
  <si>
    <t>反光镜贴纸12.5*17</t>
  </si>
  <si>
    <t>C.  TOTAL PURCHASE PARTS COST</t>
  </si>
  <si>
    <t>D. EXPENSIVE COMPONENT(S)</t>
  </si>
  <si>
    <t>D.  TOTAL EXPENSIVE COMPONENT(S)</t>
  </si>
  <si>
    <t>E. OTHER LABOUR &amp; PROCESS</t>
  </si>
  <si>
    <t>Unit</t>
  </si>
  <si>
    <t>No. of Process / Time</t>
  </si>
  <si>
    <t>DECORATION</t>
  </si>
  <si>
    <t>Ransburg</t>
  </si>
  <si>
    <t>Spraying</t>
  </si>
  <si>
    <t>op</t>
  </si>
  <si>
    <t>Vacuum Plating</t>
  </si>
  <si>
    <t>TRIMMING &amp; DEGATING</t>
  </si>
  <si>
    <t>Trimming</t>
  </si>
  <si>
    <t>Polishing</t>
  </si>
  <si>
    <t>min.</t>
  </si>
  <si>
    <t>WOOD CUTTING</t>
  </si>
  <si>
    <t>SEWING</t>
  </si>
  <si>
    <t>hour</t>
  </si>
  <si>
    <t>OTHERS</t>
  </si>
  <si>
    <t>ASSEMBLY</t>
  </si>
  <si>
    <t>Plush labour</t>
  </si>
  <si>
    <t>BONDING</t>
  </si>
  <si>
    <t>pin</t>
  </si>
  <si>
    <t>E.  TOTAL LABOUR &amp; PROCESS COST</t>
  </si>
  <si>
    <t>Port of Loading</t>
  </si>
  <si>
    <t>Yantian CN / HK</t>
  </si>
  <si>
    <t>Haiphong VN / HK</t>
  </si>
  <si>
    <t>Jakarta ID / HK</t>
  </si>
  <si>
    <t>Bangkok TH / 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</si>
</sst>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[$$-409]#,##0.00"/>
    <numFmt numFmtId="178" formatCode="[$HK$-C04]#,##0.00;\-[$HK$-C04]#,##0.00"/>
    <numFmt numFmtId="179" formatCode="[$$-409]#,##0.000"/>
    <numFmt numFmtId="180" formatCode="0.000"/>
    <numFmt numFmtId="181" formatCode="0.00_ "/>
    <numFmt numFmtId="182" formatCode="0_ "/>
    <numFmt numFmtId="183" formatCode="0.000_ "/>
    <numFmt numFmtId="184" formatCode="0.0"/>
    <numFmt numFmtId="185" formatCode="&quot;$&quot;#,##0.000"/>
    <numFmt numFmtId="186" formatCode="#,##0_ "/>
    <numFmt numFmtId="187" formatCode="#,##0.000"/>
    <numFmt numFmtId="188" formatCode="&quot;$&quot;#,##0.00"/>
    <numFmt numFmtId="189" formatCode="#\ ?/?"/>
    <numFmt numFmtId="190" formatCode="#\ ??/??"/>
    <numFmt numFmtId="191" formatCode="#,##0.00\ #\c\u.\f\t.#"/>
    <numFmt numFmtId="192" formatCode="_(&quot;$&quot;* #,##0.00_);_(&quot;$&quot;* \(#,##0.00\);_(&quot;$&quot;* &quot;-&quot;??_);_(@_)"/>
    <numFmt numFmtId="193" formatCode="0.0%"/>
    <numFmt numFmtId="194" formatCode="[$US$]#,##0.000"/>
    <numFmt numFmtId="195" formatCode="_(* #,##0_);_(* \(#,##0\);_(* &quot;-&quot;??_);_(@_)"/>
  </numFmts>
  <fonts count="48">
    <font>
      <sz val="11"/>
      <color theme="1"/>
      <name val="宋体"/>
      <charset val="134"/>
      <scheme val="minor"/>
    </font>
    <font>
      <sz val="12"/>
      <name val="Times New Roman"/>
      <charset val="134"/>
    </font>
    <font>
      <b/>
      <u/>
      <sz val="12"/>
      <name val="Times New Roman"/>
      <charset val="134"/>
    </font>
    <font>
      <sz val="12"/>
      <name val="Arial"/>
      <charset val="134"/>
    </font>
    <font>
      <b/>
      <sz val="9"/>
      <name val="Arial"/>
      <charset val="134"/>
    </font>
    <font>
      <sz val="11"/>
      <name val="Arial"/>
      <charset val="134"/>
    </font>
    <font>
      <b/>
      <u/>
      <sz val="14"/>
      <name val="Arial"/>
      <charset val="134"/>
    </font>
    <font>
      <b/>
      <u/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i/>
      <sz val="12"/>
      <name val="Arial"/>
      <charset val="134"/>
    </font>
    <font>
      <b/>
      <sz val="12"/>
      <color indexed="9"/>
      <name val="Arial"/>
      <charset val="134"/>
    </font>
    <font>
      <sz val="12"/>
      <color indexed="9"/>
      <name val="Arial"/>
      <charset val="134"/>
    </font>
    <font>
      <b/>
      <i/>
      <sz val="12"/>
      <color indexed="9"/>
      <name val="Arial"/>
      <charset val="134"/>
    </font>
    <font>
      <b/>
      <sz val="12"/>
      <name val="Arial"/>
      <charset val="134"/>
    </font>
    <font>
      <sz val="12"/>
      <color rgb="FFFF0000"/>
      <name val="Arial"/>
      <charset val="134"/>
    </font>
    <font>
      <sz val="12"/>
      <name val="宋体"/>
      <charset val="134"/>
    </font>
    <font>
      <b/>
      <sz val="12"/>
      <color rgb="FFFF000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u/>
      <sz val="12"/>
      <name val="Arial"/>
      <charset val="134"/>
    </font>
    <font>
      <sz val="11"/>
      <name val="宋体"/>
      <charset val="134"/>
    </font>
    <font>
      <sz val="13"/>
      <name val="Arial"/>
      <charset val="134"/>
    </font>
    <font>
      <b/>
      <sz val="13"/>
      <name val="Arial"/>
      <charset val="134"/>
    </font>
    <font>
      <b/>
      <sz val="13"/>
      <color theme="1"/>
      <name val="Arial"/>
      <charset val="134"/>
    </font>
    <font>
      <b/>
      <sz val="13"/>
      <color theme="0"/>
      <name val="Arial"/>
      <charset val="134"/>
    </font>
    <font>
      <i/>
      <sz val="1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7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5" fillId="0" borderId="72" applyNumberFormat="0" applyFill="0" applyAlignment="0" applyProtection="0">
      <alignment vertical="center"/>
    </xf>
    <xf numFmtId="0" fontId="36" fillId="0" borderId="7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74" applyNumberFormat="0" applyAlignment="0" applyProtection="0">
      <alignment vertical="center"/>
    </xf>
    <xf numFmtId="0" fontId="38" fillId="11" borderId="75" applyNumberFormat="0" applyAlignment="0" applyProtection="0">
      <alignment vertical="center"/>
    </xf>
    <xf numFmtId="0" fontId="39" fillId="11" borderId="74" applyNumberFormat="0" applyAlignment="0" applyProtection="0">
      <alignment vertical="center"/>
    </xf>
    <xf numFmtId="0" fontId="40" fillId="12" borderId="76" applyNumberFormat="0" applyAlignment="0" applyProtection="0">
      <alignment vertical="center"/>
    </xf>
    <xf numFmtId="0" fontId="41" fillId="0" borderId="77" applyNumberFormat="0" applyFill="0" applyAlignment="0" applyProtection="0">
      <alignment vertical="center"/>
    </xf>
    <xf numFmtId="0" fontId="42" fillId="0" borderId="78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locked="0"/>
    </xf>
    <xf numFmtId="14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176" fontId="8" fillId="0" borderId="8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76" fontId="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right"/>
      <protection locked="0"/>
    </xf>
    <xf numFmtId="177" fontId="11" fillId="3" borderId="0" xfId="0" applyNumberFormat="1" applyFont="1" applyFill="1" applyAlignment="1" applyProtection="1">
      <alignment horizontal="right"/>
      <protection locked="0"/>
    </xf>
    <xf numFmtId="0" fontId="5" fillId="4" borderId="9" xfId="0" applyFont="1" applyFill="1" applyBorder="1" applyAlignment="1" applyProtection="1">
      <alignment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>
      <alignment vertical="center"/>
    </xf>
    <xf numFmtId="178" fontId="3" fillId="0" borderId="17" xfId="0" applyNumberFormat="1" applyFont="1" applyBorder="1" applyAlignment="1" applyProtection="1">
      <alignment vertical="center"/>
      <protection locked="0"/>
    </xf>
    <xf numFmtId="9" fontId="3" fillId="0" borderId="17" xfId="0" applyNumberFormat="1" applyFont="1" applyBorder="1" applyAlignment="1" applyProtection="1">
      <alignment vertical="center"/>
      <protection locked="0"/>
    </xf>
    <xf numFmtId="10" fontId="12" fillId="0" borderId="18" xfId="0" applyNumberFormat="1" applyFont="1" applyBorder="1" applyAlignment="1" applyProtection="1">
      <alignment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21" xfId="0" applyFont="1" applyBorder="1" applyAlignment="1">
      <alignment vertical="center"/>
    </xf>
    <xf numFmtId="178" fontId="3" fillId="0" borderId="22" xfId="0" applyNumberFormat="1" applyFont="1" applyBorder="1" applyAlignment="1" applyProtection="1">
      <alignment vertical="center"/>
      <protection locked="0"/>
    </xf>
    <xf numFmtId="9" fontId="3" fillId="0" borderId="22" xfId="0" applyNumberFormat="1" applyFont="1" applyBorder="1" applyAlignment="1" applyProtection="1">
      <alignment vertical="center"/>
      <protection locked="0"/>
    </xf>
    <xf numFmtId="10" fontId="12" fillId="0" borderId="23" xfId="0" applyNumberFormat="1" applyFont="1" applyBorder="1" applyAlignment="1" applyProtection="1">
      <alignment vertical="center"/>
      <protection locked="0"/>
    </xf>
    <xf numFmtId="0" fontId="12" fillId="0" borderId="20" xfId="0" applyFont="1" applyBorder="1" applyAlignment="1" applyProtection="1">
      <alignment horizontal="left" vertical="center" wrapText="1" indent="1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left" vertical="center" wrapText="1" indent="1"/>
      <protection locked="0"/>
    </xf>
    <xf numFmtId="0" fontId="3" fillId="0" borderId="26" xfId="0" applyFont="1" applyBorder="1" applyAlignment="1">
      <alignment vertical="center"/>
    </xf>
    <xf numFmtId="178" fontId="3" fillId="0" borderId="27" xfId="0" applyNumberFormat="1" applyFont="1" applyBorder="1" applyAlignment="1" applyProtection="1">
      <alignment vertical="center"/>
      <protection locked="0"/>
    </xf>
    <xf numFmtId="9" fontId="3" fillId="0" borderId="27" xfId="0" applyNumberFormat="1" applyFont="1" applyBorder="1" applyAlignment="1" applyProtection="1">
      <alignment vertical="center"/>
      <protection locked="0"/>
    </xf>
    <xf numFmtId="10" fontId="12" fillId="0" borderId="28" xfId="0" applyNumberFormat="1" applyFont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 wrapText="1"/>
      <protection locked="0"/>
    </xf>
    <xf numFmtId="0" fontId="14" fillId="5" borderId="29" xfId="0" applyFont="1" applyFill="1" applyBorder="1" applyAlignment="1" applyProtection="1">
      <alignment vertical="center"/>
      <protection locked="0"/>
    </xf>
    <xf numFmtId="178" fontId="13" fillId="5" borderId="29" xfId="0" applyNumberFormat="1" applyFont="1" applyFill="1" applyBorder="1" applyAlignment="1" applyProtection="1">
      <alignment vertical="center"/>
      <protection locked="0"/>
    </xf>
    <xf numFmtId="10" fontId="15" fillId="5" borderId="30" xfId="0" applyNumberFormat="1" applyFont="1" applyFill="1" applyBorder="1" applyAlignment="1" applyProtection="1">
      <alignment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right"/>
      <protection locked="0"/>
    </xf>
    <xf numFmtId="177" fontId="5" fillId="3" borderId="0" xfId="0" applyNumberFormat="1" applyFont="1" applyFill="1" applyAlignment="1" applyProtection="1">
      <alignment horizontal="right"/>
      <protection locked="0"/>
    </xf>
    <xf numFmtId="177" fontId="9" fillId="3" borderId="0" xfId="0" applyNumberFormat="1" applyFont="1" applyFill="1" applyAlignment="1" applyProtection="1">
      <alignment horizontal="right"/>
      <protection locked="0"/>
    </xf>
    <xf numFmtId="0" fontId="5" fillId="4" borderId="31" xfId="0" applyFont="1" applyFill="1" applyBorder="1" applyAlignment="1" applyProtection="1">
      <alignment horizontal="left" vertical="center" wrapText="1"/>
      <protection locked="0"/>
    </xf>
    <xf numFmtId="0" fontId="9" fillId="4" borderId="31" xfId="0" applyFont="1" applyFill="1" applyBorder="1" applyAlignment="1" applyProtection="1">
      <alignment horizontal="center" vertical="center" wrapText="1"/>
      <protection locked="0"/>
    </xf>
    <xf numFmtId="0" fontId="9" fillId="4" borderId="32" xfId="0" applyFont="1" applyFill="1" applyBorder="1" applyAlignment="1" applyProtection="1">
      <alignment horizontal="center" vertical="center" wrapText="1"/>
      <protection locked="0"/>
    </xf>
    <xf numFmtId="179" fontId="9" fillId="4" borderId="3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Alignment="1" applyProtection="1">
      <alignment vertical="center"/>
      <protection locked="0"/>
    </xf>
    <xf numFmtId="0" fontId="5" fillId="3" borderId="33" xfId="0" applyFont="1" applyFill="1" applyBorder="1" applyAlignment="1" applyProtection="1">
      <alignment vertical="center" wrapText="1"/>
      <protection locked="0"/>
    </xf>
    <xf numFmtId="0" fontId="5" fillId="3" borderId="33" xfId="0" applyFont="1" applyFill="1" applyBorder="1" applyAlignment="1" applyProtection="1">
      <alignment horizontal="right"/>
      <protection locked="0"/>
    </xf>
    <xf numFmtId="0" fontId="5" fillId="3" borderId="34" xfId="0" applyFont="1" applyFill="1" applyBorder="1" applyAlignment="1" applyProtection="1">
      <alignment horizontal="right"/>
      <protection locked="0"/>
    </xf>
    <xf numFmtId="179" fontId="5" fillId="3" borderId="34" xfId="0" applyNumberFormat="1" applyFont="1" applyFill="1" applyBorder="1" applyAlignment="1" applyProtection="1">
      <alignment horizontal="right"/>
      <protection locked="0"/>
    </xf>
    <xf numFmtId="179" fontId="5" fillId="3" borderId="35" xfId="0" applyNumberFormat="1" applyFont="1" applyFill="1" applyBorder="1" applyAlignment="1" applyProtection="1">
      <alignment horizontal="right"/>
      <protection locked="0"/>
    </xf>
    <xf numFmtId="179" fontId="9" fillId="3" borderId="35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0" borderId="33" xfId="0" applyFont="1" applyBorder="1" applyAlignment="1" applyProtection="1">
      <alignment vertical="center" wrapText="1"/>
      <protection locked="0"/>
    </xf>
    <xf numFmtId="0" fontId="16" fillId="0" borderId="33" xfId="0" applyFont="1" applyBorder="1" applyAlignment="1" applyProtection="1">
      <alignment horizontal="right"/>
      <protection locked="0"/>
    </xf>
    <xf numFmtId="0" fontId="16" fillId="0" borderId="34" xfId="0" applyFont="1" applyBorder="1" applyAlignment="1" applyProtection="1">
      <alignment horizontal="right"/>
      <protection locked="0"/>
    </xf>
    <xf numFmtId="179" fontId="16" fillId="0" borderId="34" xfId="0" applyNumberFormat="1" applyFont="1" applyBorder="1" applyAlignment="1" applyProtection="1">
      <alignment horizontal="right"/>
      <protection locked="0"/>
    </xf>
    <xf numFmtId="179" fontId="16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vertical="center" wrapText="1"/>
      <protection locked="0"/>
    </xf>
    <xf numFmtId="1" fontId="3" fillId="0" borderId="34" xfId="0" applyNumberFormat="1" applyFont="1" applyBorder="1" applyAlignment="1" applyProtection="1">
      <alignment horizontal="center"/>
      <protection locked="0"/>
    </xf>
    <xf numFmtId="179" fontId="3" fillId="0" borderId="34" xfId="0" applyNumberFormat="1" applyFont="1" applyBorder="1" applyAlignment="1" applyProtection="1">
      <alignment horizontal="right"/>
      <protection locked="0"/>
    </xf>
    <xf numFmtId="177" fontId="3" fillId="0" borderId="34" xfId="0" applyNumberFormat="1" applyFont="1" applyBorder="1" applyAlignment="1" applyProtection="1">
      <alignment horizontal="right"/>
      <protection locked="0"/>
    </xf>
    <xf numFmtId="177" fontId="16" fillId="0" borderId="34" xfId="0" applyNumberFormat="1" applyFont="1" applyBorder="1" applyAlignment="1" applyProtection="1">
      <alignment horizontal="right"/>
      <protection locked="0"/>
    </xf>
    <xf numFmtId="0" fontId="17" fillId="0" borderId="0" xfId="0" applyFont="1" applyAlignment="1">
      <alignment vertical="center"/>
    </xf>
    <xf numFmtId="0" fontId="3" fillId="0" borderId="33" xfId="0" applyFont="1" applyBorder="1" applyAlignment="1" applyProtection="1">
      <alignment horizontal="right"/>
      <protection locked="0"/>
    </xf>
    <xf numFmtId="180" fontId="3" fillId="0" borderId="34" xfId="0" applyNumberFormat="1" applyFont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vertical="center" wrapText="1"/>
      <protection locked="0"/>
    </xf>
    <xf numFmtId="0" fontId="16" fillId="3" borderId="33" xfId="0" applyFont="1" applyFill="1" applyBorder="1" applyAlignment="1" applyProtection="1">
      <alignment horizontal="right"/>
      <protection locked="0"/>
    </xf>
    <xf numFmtId="180" fontId="16" fillId="3" borderId="34" xfId="0" applyNumberFormat="1" applyFont="1" applyFill="1" applyBorder="1" applyAlignment="1" applyProtection="1">
      <alignment horizontal="right"/>
      <protection locked="0"/>
    </xf>
    <xf numFmtId="179" fontId="3" fillId="6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vertical="center" wrapText="1"/>
      <protection locked="0"/>
    </xf>
    <xf numFmtId="0" fontId="3" fillId="3" borderId="33" xfId="0" applyFont="1" applyFill="1" applyBorder="1" applyAlignment="1" applyProtection="1">
      <alignment horizontal="right"/>
      <protection locked="0"/>
    </xf>
    <xf numFmtId="181" fontId="3" fillId="3" borderId="33" xfId="0" applyNumberFormat="1" applyFont="1" applyFill="1" applyBorder="1" applyAlignment="1" applyProtection="1">
      <alignment horizontal="right"/>
      <protection locked="0"/>
    </xf>
    <xf numFmtId="180" fontId="3" fillId="6" borderId="34" xfId="0" applyNumberFormat="1" applyFont="1" applyFill="1" applyBorder="1" applyAlignment="1" applyProtection="1">
      <alignment horizontal="right"/>
      <protection locked="0"/>
    </xf>
    <xf numFmtId="177" fontId="16" fillId="3" borderId="34" xfId="0" applyNumberFormat="1" applyFont="1" applyFill="1" applyBorder="1" applyAlignment="1" applyProtection="1">
      <alignment horizontal="right"/>
      <protection locked="0"/>
    </xf>
    <xf numFmtId="182" fontId="3" fillId="3" borderId="33" xfId="0" applyNumberFormat="1" applyFont="1" applyFill="1" applyBorder="1" applyAlignment="1" applyProtection="1">
      <alignment horizontal="right"/>
      <protection locked="0"/>
    </xf>
    <xf numFmtId="183" fontId="3" fillId="3" borderId="33" xfId="0" applyNumberFormat="1" applyFont="1" applyFill="1" applyBorder="1" applyAlignment="1" applyProtection="1">
      <alignment horizontal="right"/>
      <protection locked="0"/>
    </xf>
    <xf numFmtId="2" fontId="3" fillId="6" borderId="34" xfId="0" applyNumberFormat="1" applyFont="1" applyFill="1" applyBorder="1" applyAlignment="1" applyProtection="1">
      <alignment horizontal="right"/>
      <protection locked="0"/>
    </xf>
    <xf numFmtId="177" fontId="3" fillId="6" borderId="34" xfId="0" applyNumberFormat="1" applyFont="1" applyFill="1" applyBorder="1" applyAlignment="1" applyProtection="1">
      <alignment horizontal="right"/>
      <protection locked="0"/>
    </xf>
    <xf numFmtId="182" fontId="3" fillId="3" borderId="33" xfId="0" applyNumberFormat="1" applyFont="1" applyFill="1" applyBorder="1" applyProtection="1">
      <protection locked="0"/>
    </xf>
    <xf numFmtId="2" fontId="3" fillId="3" borderId="34" xfId="0" applyNumberFormat="1" applyFont="1" applyFill="1" applyBorder="1" applyAlignment="1" applyProtection="1">
      <alignment horizontal="right"/>
      <protection locked="0"/>
    </xf>
    <xf numFmtId="0" fontId="18" fillId="3" borderId="33" xfId="0" applyFont="1" applyFill="1" applyBorder="1" applyAlignment="1" applyProtection="1">
      <alignment vertical="center" wrapText="1"/>
      <protection locked="0"/>
    </xf>
    <xf numFmtId="179" fontId="3" fillId="3" borderId="34" xfId="0" applyNumberFormat="1" applyFont="1" applyFill="1" applyBorder="1" applyAlignment="1" applyProtection="1">
      <alignment horizontal="right"/>
      <protection locked="0"/>
    </xf>
    <xf numFmtId="180" fontId="19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vertical="center"/>
      <protection locked="0"/>
    </xf>
    <xf numFmtId="180" fontId="3" fillId="3" borderId="34" xfId="0" applyNumberFormat="1" applyFont="1" applyFill="1" applyBorder="1" applyAlignment="1" applyProtection="1">
      <alignment horizontal="right"/>
      <protection locked="0"/>
    </xf>
    <xf numFmtId="0" fontId="13" fillId="5" borderId="33" xfId="0" applyFont="1" applyFill="1" applyBorder="1" applyAlignment="1" applyProtection="1">
      <alignment vertical="center"/>
      <protection locked="0"/>
    </xf>
    <xf numFmtId="0" fontId="13" fillId="5" borderId="33" xfId="0" applyFont="1" applyFill="1" applyBorder="1" applyAlignment="1" applyProtection="1">
      <alignment vertical="center" wrapText="1"/>
      <protection locked="0"/>
    </xf>
    <xf numFmtId="0" fontId="13" fillId="5" borderId="33" xfId="0" applyFont="1" applyFill="1" applyBorder="1" applyAlignment="1" applyProtection="1">
      <alignment horizontal="right"/>
      <protection locked="0"/>
    </xf>
    <xf numFmtId="180" fontId="14" fillId="5" borderId="34" xfId="0" applyNumberFormat="1" applyFont="1" applyFill="1" applyBorder="1" applyAlignment="1" applyProtection="1">
      <alignment horizontal="right"/>
      <protection locked="0"/>
    </xf>
    <xf numFmtId="179" fontId="14" fillId="5" borderId="34" xfId="0" applyNumberFormat="1" applyFont="1" applyFill="1" applyBorder="1" applyAlignment="1" applyProtection="1">
      <alignment horizontal="right"/>
      <protection locked="0"/>
    </xf>
    <xf numFmtId="177" fontId="13" fillId="5" borderId="34" xfId="0" applyNumberFormat="1" applyFont="1" applyFill="1" applyBorder="1" applyAlignment="1" applyProtection="1">
      <alignment horizontal="right"/>
      <protection locked="0"/>
    </xf>
    <xf numFmtId="177" fontId="13" fillId="5" borderId="29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 wrapText="1"/>
      <protection locked="0"/>
    </xf>
    <xf numFmtId="0" fontId="3" fillId="3" borderId="0" xfId="0" applyFont="1" applyFill="1" applyAlignment="1" applyProtection="1">
      <alignment horizontal="right"/>
      <protection locked="0"/>
    </xf>
    <xf numFmtId="180" fontId="3" fillId="3" borderId="0" xfId="0" applyNumberFormat="1" applyFont="1" applyFill="1" applyAlignment="1" applyProtection="1">
      <alignment horizontal="right"/>
      <protection locked="0"/>
    </xf>
    <xf numFmtId="179" fontId="3" fillId="3" borderId="0" xfId="0" applyNumberFormat="1" applyFont="1" applyFill="1" applyAlignment="1" applyProtection="1">
      <alignment horizontal="right"/>
      <protection locked="0"/>
    </xf>
    <xf numFmtId="179" fontId="16" fillId="3" borderId="0" xfId="0" applyNumberFormat="1" applyFont="1" applyFill="1" applyAlignment="1" applyProtection="1">
      <alignment horizontal="right"/>
      <protection locked="0"/>
    </xf>
    <xf numFmtId="0" fontId="16" fillId="3" borderId="0" xfId="0" applyFont="1" applyFill="1" applyAlignment="1" applyProtection="1">
      <alignment vertical="center"/>
      <protection locked="0"/>
    </xf>
    <xf numFmtId="0" fontId="5" fillId="4" borderId="31" xfId="0" applyFont="1" applyFill="1" applyBorder="1" applyAlignment="1" applyProtection="1">
      <alignment horizontal="left" vertical="center"/>
      <protection locked="0"/>
    </xf>
    <xf numFmtId="0" fontId="9" fillId="4" borderId="31" xfId="0" applyFont="1" applyFill="1" applyBorder="1" applyAlignment="1" applyProtection="1">
      <alignment horizontal="center" vertical="center"/>
      <protection locked="0"/>
    </xf>
    <xf numFmtId="180" fontId="9" fillId="4" borderId="32" xfId="0" applyNumberFormat="1" applyFont="1" applyFill="1" applyBorder="1" applyAlignment="1" applyProtection="1">
      <alignment horizontal="center" vertical="center"/>
      <protection locked="0"/>
    </xf>
    <xf numFmtId="0" fontId="3" fillId="3" borderId="33" xfId="0" applyFont="1" applyFill="1" applyBorder="1" applyAlignment="1" applyProtection="1">
      <alignment horizontal="right" vertical="center"/>
      <protection locked="0"/>
    </xf>
    <xf numFmtId="180" fontId="3" fillId="3" borderId="34" xfId="0" applyNumberFormat="1" applyFont="1" applyFill="1" applyBorder="1" applyAlignment="1" applyProtection="1">
      <alignment horizontal="right" vertical="center"/>
      <protection locked="0"/>
    </xf>
    <xf numFmtId="177" fontId="3" fillId="3" borderId="34" xfId="0" applyNumberFormat="1" applyFont="1" applyFill="1" applyBorder="1" applyAlignment="1" applyProtection="1">
      <alignment horizontal="right" vertical="center"/>
      <protection locked="0"/>
    </xf>
    <xf numFmtId="177" fontId="3" fillId="6" borderId="34" xfId="0" applyNumberFormat="1" applyFont="1" applyFill="1" applyBorder="1" applyAlignment="1" applyProtection="1">
      <alignment horizontal="right" vertical="center"/>
      <protection locked="0"/>
    </xf>
    <xf numFmtId="0" fontId="20" fillId="3" borderId="33" xfId="0" applyFont="1" applyFill="1" applyBorder="1" applyAlignment="1" applyProtection="1">
      <alignment horizontal="center" vertical="center"/>
      <protection locked="0"/>
    </xf>
    <xf numFmtId="0" fontId="20" fillId="3" borderId="33" xfId="0" applyFont="1" applyFill="1" applyBorder="1" applyAlignment="1" applyProtection="1">
      <alignment vertical="center" wrapText="1"/>
      <protection locked="0"/>
    </xf>
    <xf numFmtId="0" fontId="21" fillId="3" borderId="33" xfId="0" applyFont="1" applyFill="1" applyBorder="1" applyAlignment="1" applyProtection="1">
      <alignment horizontal="right"/>
      <protection locked="0"/>
    </xf>
    <xf numFmtId="180" fontId="21" fillId="3" borderId="34" xfId="0" applyNumberFormat="1" applyFont="1" applyFill="1" applyBorder="1" applyAlignment="1" applyProtection="1">
      <alignment horizontal="right"/>
      <protection locked="0"/>
    </xf>
    <xf numFmtId="177" fontId="21" fillId="3" borderId="34" xfId="0" applyNumberFormat="1" applyFont="1" applyFill="1" applyBorder="1" applyAlignment="1" applyProtection="1">
      <alignment horizontal="right"/>
      <protection locked="0"/>
    </xf>
    <xf numFmtId="177" fontId="21" fillId="6" borderId="34" xfId="0" applyNumberFormat="1" applyFont="1" applyFill="1" applyBorder="1" applyAlignment="1" applyProtection="1">
      <alignment horizontal="right"/>
      <protection locked="0"/>
    </xf>
    <xf numFmtId="177" fontId="20" fillId="3" borderId="34" xfId="0" applyNumberFormat="1" applyFont="1" applyFill="1" applyBorder="1" applyAlignment="1" applyProtection="1">
      <alignment horizontal="right"/>
      <protection locked="0"/>
    </xf>
    <xf numFmtId="177" fontId="3" fillId="3" borderId="34" xfId="0" applyNumberFormat="1" applyFont="1" applyFill="1" applyBorder="1" applyAlignment="1" applyProtection="1">
      <alignment horizontal="right"/>
      <protection locked="0"/>
    </xf>
    <xf numFmtId="0" fontId="18" fillId="0" borderId="33" xfId="0" applyFont="1" applyBorder="1" applyAlignment="1" applyProtection="1">
      <alignment vertical="center" wrapText="1"/>
      <protection locked="0"/>
    </xf>
    <xf numFmtId="0" fontId="13" fillId="5" borderId="36" xfId="0" applyFont="1" applyFill="1" applyBorder="1" applyAlignment="1" applyProtection="1">
      <alignment vertical="center"/>
      <protection locked="0"/>
    </xf>
    <xf numFmtId="0" fontId="13" fillId="5" borderId="36" xfId="0" applyFont="1" applyFill="1" applyBorder="1" applyAlignment="1" applyProtection="1">
      <alignment vertical="center" wrapText="1"/>
      <protection locked="0"/>
    </xf>
    <xf numFmtId="0" fontId="13" fillId="5" borderId="36" xfId="0" applyFont="1" applyFill="1" applyBorder="1" applyAlignment="1" applyProtection="1">
      <alignment horizontal="right"/>
      <protection locked="0"/>
    </xf>
    <xf numFmtId="0" fontId="14" fillId="5" borderId="29" xfId="0" applyFont="1" applyFill="1" applyBorder="1" applyAlignment="1" applyProtection="1">
      <alignment horizontal="right"/>
      <protection locked="0"/>
    </xf>
    <xf numFmtId="179" fontId="14" fillId="5" borderId="29" xfId="0" applyNumberFormat="1" applyFont="1" applyFill="1" applyBorder="1" applyAlignment="1" applyProtection="1">
      <alignment horizontal="right"/>
      <protection locked="0"/>
    </xf>
    <xf numFmtId="179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2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horizontal="right"/>
      <protection locked="0"/>
    </xf>
    <xf numFmtId="179" fontId="3" fillId="3" borderId="35" xfId="0" applyNumberFormat="1" applyFont="1" applyFill="1" applyBorder="1" applyAlignment="1" applyProtection="1">
      <alignment horizontal="right"/>
      <protection locked="0"/>
    </xf>
    <xf numFmtId="179" fontId="16" fillId="3" borderId="35" xfId="0" applyNumberFormat="1" applyFont="1" applyFill="1" applyBorder="1" applyAlignment="1" applyProtection="1">
      <alignment horizontal="right"/>
      <protection locked="0"/>
    </xf>
    <xf numFmtId="0" fontId="3" fillId="0" borderId="33" xfId="0" applyFont="1" applyBorder="1" applyAlignment="1" applyProtection="1">
      <alignment horizontal="center"/>
      <protection locked="0"/>
    </xf>
    <xf numFmtId="184" fontId="3" fillId="0" borderId="34" xfId="0" applyNumberFormat="1" applyFont="1" applyBorder="1" applyAlignment="1" applyProtection="1">
      <alignment horizontal="right"/>
      <protection locked="0"/>
    </xf>
    <xf numFmtId="0" fontId="3" fillId="0" borderId="34" xfId="0" applyFont="1" applyBorder="1" applyAlignment="1" applyProtection="1">
      <alignment horizontal="right"/>
      <protection locked="0"/>
    </xf>
    <xf numFmtId="181" fontId="3" fillId="0" borderId="34" xfId="0" applyNumberFormat="1" applyFont="1" applyBorder="1" applyAlignment="1" applyProtection="1">
      <alignment horizontal="right"/>
      <protection locked="0"/>
    </xf>
    <xf numFmtId="0" fontId="16" fillId="0" borderId="33" xfId="0" applyFont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right"/>
      <protection locked="0"/>
    </xf>
    <xf numFmtId="177" fontId="14" fillId="5" borderId="29" xfId="0" applyNumberFormat="1" applyFont="1" applyFill="1" applyBorder="1" applyAlignment="1" applyProtection="1">
      <alignment horizontal="right"/>
      <protection locked="0"/>
    </xf>
    <xf numFmtId="177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1" xfId="0" applyFont="1" applyFill="1" applyBorder="1" applyAlignment="1" applyProtection="1">
      <alignment horizontal="left" vertical="center"/>
      <protection locked="0"/>
    </xf>
    <xf numFmtId="0" fontId="3" fillId="3" borderId="33" xfId="0" applyFont="1" applyFill="1" applyBorder="1" applyAlignment="1" applyProtection="1">
      <alignment horizontal="center"/>
      <protection locked="0"/>
    </xf>
    <xf numFmtId="184" fontId="3" fillId="3" borderId="34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vertical="center"/>
      <protection locked="0"/>
    </xf>
    <xf numFmtId="0" fontId="3" fillId="3" borderId="34" xfId="0" applyFont="1" applyFill="1" applyBorder="1" applyAlignment="1" applyProtection="1">
      <alignment horizontal="center"/>
      <protection locked="0"/>
    </xf>
    <xf numFmtId="0" fontId="13" fillId="5" borderId="36" xfId="0" applyFont="1" applyFill="1" applyBorder="1" applyAlignment="1" applyProtection="1">
      <alignment horizontal="left" vertical="center" wrapText="1"/>
      <protection locked="0"/>
    </xf>
    <xf numFmtId="0" fontId="13" fillId="5" borderId="37" xfId="0" applyFont="1" applyFill="1" applyBorder="1" applyAlignment="1" applyProtection="1">
      <alignment horizontal="left" vertical="center" wrapText="1"/>
      <protection locked="0"/>
    </xf>
    <xf numFmtId="0" fontId="13" fillId="5" borderId="30" xfId="0" applyFont="1" applyFill="1" applyBorder="1" applyAlignment="1" applyProtection="1">
      <alignment horizontal="left" vertical="center" wrapText="1"/>
      <protection locked="0"/>
    </xf>
    <xf numFmtId="0" fontId="16" fillId="4" borderId="31" xfId="0" applyFont="1" applyFill="1" applyBorder="1" applyAlignment="1" applyProtection="1">
      <alignment horizontal="left" vertical="center" wrapText="1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22" fillId="3" borderId="33" xfId="0" applyFont="1" applyFill="1" applyBorder="1" applyAlignment="1" applyProtection="1">
      <alignment vertical="center" wrapText="1"/>
      <protection locked="0"/>
    </xf>
    <xf numFmtId="0" fontId="22" fillId="3" borderId="34" xfId="0" applyFont="1" applyFill="1" applyBorder="1" applyAlignment="1" applyProtection="1">
      <alignment horizontal="right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23" fillId="0" borderId="0" xfId="0" applyFont="1" applyAlignment="1">
      <alignment vertical="center"/>
    </xf>
    <xf numFmtId="0" fontId="13" fillId="5" borderId="37" xfId="0" applyFont="1" applyFill="1" applyBorder="1" applyAlignment="1" applyProtection="1">
      <alignment vertical="center" wrapText="1"/>
      <protection locked="0"/>
    </xf>
    <xf numFmtId="0" fontId="13" fillId="5" borderId="30" xfId="0" applyFont="1" applyFill="1" applyBorder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179" fontId="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" fillId="6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14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7" borderId="38" xfId="0" applyFont="1" applyFill="1" applyBorder="1" applyAlignment="1" applyProtection="1">
      <alignment horizontal="center" vertical="center" wrapText="1"/>
      <protection locked="0"/>
    </xf>
    <xf numFmtId="0" fontId="16" fillId="7" borderId="39" xfId="0" applyFont="1" applyFill="1" applyBorder="1" applyAlignment="1" applyProtection="1">
      <alignment horizontal="center" vertical="center" wrapText="1"/>
      <protection locked="0"/>
    </xf>
    <xf numFmtId="185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41" xfId="0" applyFont="1" applyBorder="1" applyAlignment="1" applyProtection="1">
      <alignment horizontal="left" vertical="top" wrapText="1"/>
      <protection locked="0"/>
    </xf>
    <xf numFmtId="0" fontId="3" fillId="0" borderId="21" xfId="0" applyFont="1" applyBorder="1" applyAlignment="1" applyProtection="1">
      <alignment horizontal="left" vertical="top" wrapText="1"/>
      <protection locked="0"/>
    </xf>
    <xf numFmtId="186" fontId="3" fillId="0" borderId="22" xfId="0" applyNumberFormat="1" applyFont="1" applyBorder="1" applyAlignment="1" applyProtection="1">
      <alignment horizontal="right" vertical="center"/>
      <protection locked="0"/>
    </xf>
    <xf numFmtId="2" fontId="3" fillId="3" borderId="41" xfId="0" applyNumberFormat="1" applyFont="1" applyFill="1" applyBorder="1" applyAlignment="1" applyProtection="1">
      <alignment horizontal="center" vertical="center"/>
      <protection locked="0"/>
    </xf>
    <xf numFmtId="185" fontId="3" fillId="6" borderId="40" xfId="0" applyNumberFormat="1" applyFont="1" applyFill="1" applyBorder="1" applyAlignment="1" applyProtection="1">
      <alignment horizontal="right" vertical="center"/>
      <protection locked="0"/>
    </xf>
    <xf numFmtId="185" fontId="3" fillId="3" borderId="34" xfId="0" applyNumberFormat="1" applyFont="1" applyFill="1" applyBorder="1" applyAlignment="1" applyProtection="1">
      <alignment horizontal="right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185" fontId="3" fillId="6" borderId="22" xfId="0" applyNumberFormat="1" applyFont="1" applyFill="1" applyBorder="1" applyAlignment="1" applyProtection="1">
      <alignment horizontal="right" vertical="center"/>
      <protection locked="0"/>
    </xf>
    <xf numFmtId="185" fontId="3" fillId="3" borderId="22" xfId="0" applyNumberFormat="1" applyFont="1" applyFill="1" applyBorder="1" applyAlignment="1" applyProtection="1">
      <alignment horizontal="right" vertical="center"/>
      <protection locked="0"/>
    </xf>
    <xf numFmtId="0" fontId="3" fillId="6" borderId="22" xfId="0" applyFont="1" applyFill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left" vertical="top" wrapText="1"/>
      <protection locked="0"/>
    </xf>
    <xf numFmtId="0" fontId="3" fillId="0" borderId="44" xfId="0" applyFont="1" applyBorder="1" applyAlignment="1" applyProtection="1">
      <alignment horizontal="left" vertical="top" wrapText="1"/>
      <protection locked="0"/>
    </xf>
    <xf numFmtId="0" fontId="3" fillId="0" borderId="45" xfId="0" applyFont="1" applyBorder="1" applyAlignment="1" applyProtection="1">
      <alignment horizontal="left" vertical="top" wrapText="1"/>
      <protection locked="0"/>
    </xf>
    <xf numFmtId="0" fontId="3" fillId="6" borderId="42" xfId="0" applyFont="1" applyFill="1" applyBorder="1" applyAlignment="1" applyProtection="1">
      <alignment horizontal="center" vertical="center"/>
      <protection locked="0"/>
    </xf>
    <xf numFmtId="2" fontId="3" fillId="3" borderId="44" xfId="0" applyNumberFormat="1" applyFont="1" applyFill="1" applyBorder="1" applyAlignment="1" applyProtection="1">
      <alignment horizontal="center" vertical="center"/>
      <protection locked="0"/>
    </xf>
    <xf numFmtId="185" fontId="3" fillId="6" borderId="42" xfId="0" applyNumberFormat="1" applyFont="1" applyFill="1" applyBorder="1" applyAlignment="1" applyProtection="1">
      <alignment horizontal="right" vertical="center"/>
      <protection locked="0"/>
    </xf>
    <xf numFmtId="185" fontId="3" fillId="3" borderId="42" xfId="0" applyNumberFormat="1" applyFont="1" applyFill="1" applyBorder="1" applyAlignment="1" applyProtection="1">
      <alignment horizontal="right" vertical="center"/>
      <protection locked="0"/>
    </xf>
    <xf numFmtId="185" fontId="3" fillId="0" borderId="0" xfId="0" applyNumberFormat="1" applyFont="1" applyAlignment="1" applyProtection="1">
      <alignment vertical="center"/>
      <protection locked="0"/>
    </xf>
    <xf numFmtId="185" fontId="17" fillId="0" borderId="0" xfId="0" applyNumberFormat="1" applyFont="1" applyAlignment="1" applyProtection="1">
      <alignment vertical="center"/>
      <protection locked="0"/>
    </xf>
    <xf numFmtId="185" fontId="3" fillId="3" borderId="0" xfId="0" applyNumberFormat="1" applyFont="1" applyFill="1" applyAlignment="1" applyProtection="1">
      <alignment horizontal="right" vertical="center"/>
      <protection locked="0"/>
    </xf>
    <xf numFmtId="0" fontId="16" fillId="7" borderId="38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/>
      <protection locked="0"/>
    </xf>
    <xf numFmtId="0" fontId="16" fillId="7" borderId="39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 wrapText="1"/>
      <protection locked="0"/>
    </xf>
    <xf numFmtId="0" fontId="3" fillId="0" borderId="48" xfId="0" applyFont="1" applyBorder="1" applyAlignment="1" applyProtection="1">
      <alignment horizontal="left" vertical="center" wrapText="1"/>
      <protection locked="0"/>
    </xf>
    <xf numFmtId="187" fontId="3" fillId="0" borderId="49" xfId="0" applyNumberFormat="1" applyFont="1" applyBorder="1" applyAlignment="1" applyProtection="1">
      <alignment horizontal="center" vertical="center"/>
      <protection locked="0"/>
    </xf>
    <xf numFmtId="188" fontId="3" fillId="0" borderId="34" xfId="0" applyNumberFormat="1" applyFont="1" applyBorder="1" applyAlignment="1" applyProtection="1">
      <alignment horizontal="right" vertical="center"/>
      <protection locked="0"/>
    </xf>
    <xf numFmtId="188" fontId="3" fillId="0" borderId="22" xfId="0" applyNumberFormat="1" applyFont="1" applyBorder="1" applyAlignment="1" applyProtection="1">
      <alignment horizontal="right" vertical="center"/>
      <protection locked="0"/>
    </xf>
    <xf numFmtId="0" fontId="3" fillId="6" borderId="20" xfId="0" applyFont="1" applyFill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48" xfId="0" applyFont="1" applyBorder="1" applyAlignment="1" applyProtection="1">
      <alignment horizontal="center" vertical="center" wrapText="1"/>
      <protection locked="0"/>
    </xf>
    <xf numFmtId="188" fontId="3" fillId="6" borderId="22" xfId="0" applyNumberFormat="1" applyFont="1" applyFill="1" applyBorder="1" applyAlignment="1" applyProtection="1">
      <alignment horizontal="right" vertical="center"/>
      <protection locked="0"/>
    </xf>
    <xf numFmtId="187" fontId="3" fillId="0" borderId="20" xfId="0" applyNumberFormat="1" applyFont="1" applyBorder="1" applyAlignment="1" applyProtection="1">
      <alignment horizontal="center" vertical="center"/>
      <protection locked="0"/>
    </xf>
    <xf numFmtId="185" fontId="3" fillId="0" borderId="22" xfId="0" applyNumberFormat="1" applyFont="1" applyBorder="1" applyAlignment="1" applyProtection="1">
      <alignment horizontal="right" vertical="center"/>
      <protection locked="0"/>
    </xf>
    <xf numFmtId="0" fontId="3" fillId="3" borderId="20" xfId="0" applyFont="1" applyFill="1" applyBorder="1" applyAlignment="1" applyProtection="1">
      <alignment horizontal="left" vertical="center" wrapText="1"/>
      <protection locked="0"/>
    </xf>
    <xf numFmtId="0" fontId="3" fillId="6" borderId="20" xfId="0" applyFont="1" applyFill="1" applyBorder="1" applyAlignment="1" applyProtection="1">
      <alignment horizontal="left" vertical="center"/>
      <protection locked="0"/>
    </xf>
    <xf numFmtId="185" fontId="3" fillId="0" borderId="20" xfId="0" applyNumberFormat="1" applyFont="1" applyBorder="1" applyAlignment="1" applyProtection="1">
      <alignment horizontal="right" vertical="center"/>
      <protection locked="0"/>
    </xf>
    <xf numFmtId="0" fontId="3" fillId="3" borderId="43" xfId="0" applyFont="1" applyFill="1" applyBorder="1" applyAlignment="1" applyProtection="1">
      <alignment vertical="center"/>
      <protection locked="0"/>
    </xf>
    <xf numFmtId="0" fontId="3" fillId="3" borderId="44" xfId="0" applyFont="1" applyFill="1" applyBorder="1" applyAlignment="1" applyProtection="1">
      <alignment vertical="center"/>
      <protection locked="0"/>
    </xf>
    <xf numFmtId="2" fontId="3" fillId="6" borderId="44" xfId="0" applyNumberFormat="1" applyFont="1" applyFill="1" applyBorder="1" applyAlignment="1" applyProtection="1">
      <alignment horizontal="right" vertical="center"/>
      <protection locked="0"/>
    </xf>
    <xf numFmtId="177" fontId="3" fillId="3" borderId="44" xfId="0" applyNumberFormat="1" applyFont="1" applyFill="1" applyBorder="1" applyAlignment="1" applyProtection="1">
      <alignment horizontal="right" vertical="center"/>
      <protection locked="0"/>
    </xf>
    <xf numFmtId="10" fontId="3" fillId="3" borderId="43" xfId="0" applyNumberFormat="1" applyFont="1" applyFill="1" applyBorder="1" applyAlignment="1" applyProtection="1">
      <alignment horizontal="right" vertical="center"/>
      <protection locked="0"/>
    </xf>
    <xf numFmtId="177" fontId="3" fillId="6" borderId="42" xfId="0" applyNumberFormat="1" applyFont="1" applyFill="1" applyBorder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right" vertical="center"/>
      <protection locked="0"/>
    </xf>
    <xf numFmtId="0" fontId="16" fillId="7" borderId="50" xfId="0" applyFont="1" applyFill="1" applyBorder="1" applyAlignment="1" applyProtection="1">
      <alignment horizontal="center" vertical="center"/>
      <protection locked="0"/>
    </xf>
    <xf numFmtId="177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1" xfId="0" applyFont="1" applyFill="1" applyBorder="1" applyAlignment="1" applyProtection="1">
      <alignment vertical="center"/>
      <protection locked="0"/>
    </xf>
    <xf numFmtId="0" fontId="3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2" xfId="0" applyFont="1" applyFill="1" applyBorder="1" applyAlignment="1" applyProtection="1">
      <alignment horizontal="left" vertical="top" wrapText="1"/>
      <protection locked="0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3" fontId="3" fillId="6" borderId="51" xfId="0" applyNumberFormat="1" applyFont="1" applyFill="1" applyBorder="1" applyAlignment="1" applyProtection="1">
      <alignment horizontal="center" vertical="center"/>
      <protection locked="0"/>
    </xf>
    <xf numFmtId="9" fontId="3" fillId="3" borderId="51" xfId="0" applyNumberFormat="1" applyFont="1" applyFill="1" applyBorder="1" applyAlignment="1" applyProtection="1">
      <alignment horizontal="right" vertical="center"/>
      <protection locked="0"/>
    </xf>
    <xf numFmtId="0" fontId="3" fillId="3" borderId="42" xfId="0" applyFont="1" applyFill="1" applyBorder="1" applyAlignment="1" applyProtection="1">
      <alignment horizontal="left" vertical="center"/>
      <protection locked="0"/>
    </xf>
    <xf numFmtId="0" fontId="3" fillId="3" borderId="43" xfId="0" applyFont="1" applyFill="1" applyBorder="1" applyAlignment="1" applyProtection="1">
      <alignment horizontal="left" vertical="top" wrapText="1"/>
      <protection locked="0"/>
    </xf>
    <xf numFmtId="0" fontId="3" fillId="3" borderId="45" xfId="0" applyFont="1" applyFill="1" applyBorder="1" applyAlignment="1" applyProtection="1">
      <alignment horizontal="left" vertical="top" wrapText="1"/>
      <protection locked="0"/>
    </xf>
    <xf numFmtId="0" fontId="3" fillId="3" borderId="42" xfId="0" applyFont="1" applyFill="1" applyBorder="1" applyAlignment="1" applyProtection="1">
      <alignment horizontal="center" vertical="center"/>
      <protection locked="0"/>
    </xf>
    <xf numFmtId="3" fontId="3" fillId="6" borderId="42" xfId="0" applyNumberFormat="1" applyFont="1" applyFill="1" applyBorder="1" applyAlignment="1" applyProtection="1">
      <alignment horizontal="center" vertical="center"/>
      <protection locked="0"/>
    </xf>
    <xf numFmtId="177" fontId="3" fillId="3" borderId="42" xfId="0" applyNumberFormat="1" applyFont="1" applyFill="1" applyBorder="1" applyAlignment="1" applyProtection="1">
      <alignment horizontal="right" vertical="center"/>
      <protection locked="0"/>
    </xf>
    <xf numFmtId="9" fontId="3" fillId="3" borderId="42" xfId="0" applyNumberFormat="1" applyFont="1" applyFill="1" applyBorder="1" applyAlignment="1" applyProtection="1">
      <alignment horizontal="right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25" fillId="7" borderId="38" xfId="0" applyFont="1" applyFill="1" applyBorder="1" applyAlignment="1" applyProtection="1">
      <alignment horizontal="center" vertical="center" wrapText="1"/>
      <protection locked="0"/>
    </xf>
    <xf numFmtId="185" fontId="25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4" fillId="3" borderId="47" xfId="0" applyFont="1" applyFill="1" applyBorder="1" applyAlignment="1" applyProtection="1">
      <alignment horizontal="left" vertical="center" wrapText="1"/>
      <protection locked="0"/>
    </xf>
    <xf numFmtId="0" fontId="24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3" xfId="0" applyFont="1" applyFill="1" applyBorder="1" applyAlignment="1" applyProtection="1">
      <alignment vertical="center"/>
      <protection locked="0"/>
    </xf>
    <xf numFmtId="184" fontId="3" fillId="6" borderId="16" xfId="0" applyNumberFormat="1" applyFont="1" applyFill="1" applyBorder="1" applyAlignment="1" applyProtection="1">
      <alignment horizontal="right" vertical="center"/>
      <protection locked="0"/>
    </xf>
    <xf numFmtId="0" fontId="3" fillId="3" borderId="16" xfId="0" applyFont="1" applyFill="1" applyBorder="1" applyAlignment="1" applyProtection="1">
      <alignment vertical="center"/>
      <protection locked="0"/>
    </xf>
    <xf numFmtId="0" fontId="24" fillId="6" borderId="47" xfId="0" applyFont="1" applyFill="1" applyBorder="1" applyAlignment="1" applyProtection="1">
      <alignment horizontal="center" vertical="center"/>
      <protection locked="0"/>
    </xf>
    <xf numFmtId="189" fontId="24" fillId="3" borderId="47" xfId="0" applyNumberFormat="1" applyFont="1" applyFill="1" applyBorder="1" applyAlignment="1" applyProtection="1">
      <alignment horizontal="center" vertical="center"/>
      <protection locked="0"/>
    </xf>
    <xf numFmtId="188" fontId="24" fillId="3" borderId="51" xfId="0" applyNumberFormat="1" applyFont="1" applyFill="1" applyBorder="1" applyAlignment="1" applyProtection="1">
      <alignment horizontal="right" vertical="center"/>
      <protection locked="0"/>
    </xf>
    <xf numFmtId="0" fontId="3" fillId="3" borderId="17" xfId="0" applyFont="1" applyFill="1" applyBorder="1" applyAlignment="1" applyProtection="1">
      <alignment vertical="center"/>
      <protection locked="0"/>
    </xf>
    <xf numFmtId="0" fontId="3" fillId="3" borderId="54" xfId="0" applyFont="1" applyFill="1" applyBorder="1" applyAlignment="1" applyProtection="1">
      <alignment vertical="center"/>
      <protection locked="0"/>
    </xf>
    <xf numFmtId="184" fontId="3" fillId="6" borderId="17" xfId="0" applyNumberFormat="1" applyFont="1" applyFill="1" applyBorder="1" applyAlignment="1" applyProtection="1">
      <alignment horizontal="right" vertical="center"/>
      <protection locked="0"/>
    </xf>
    <xf numFmtId="190" fontId="3" fillId="3" borderId="17" xfId="0" applyNumberFormat="1" applyFont="1" applyFill="1" applyBorder="1" applyAlignment="1" applyProtection="1">
      <alignment horizontal="center" vertical="center"/>
      <protection locked="0"/>
    </xf>
    <xf numFmtId="188" fontId="3" fillId="3" borderId="17" xfId="0" applyNumberFormat="1" applyFont="1" applyFill="1" applyBorder="1" applyAlignment="1" applyProtection="1">
      <alignment horizontal="right" vertical="center"/>
      <protection locked="0"/>
    </xf>
    <xf numFmtId="188" fontId="3" fillId="6" borderId="17" xfId="0" applyNumberFormat="1" applyFont="1" applyFill="1" applyBorder="1" applyAlignment="1" applyProtection="1">
      <alignment horizontal="right" vertical="center"/>
      <protection locked="0"/>
    </xf>
    <xf numFmtId="0" fontId="3" fillId="3" borderId="29" xfId="0" applyFont="1" applyFill="1" applyBorder="1" applyAlignment="1" applyProtection="1">
      <alignment vertical="center"/>
      <protection locked="0"/>
    </xf>
    <xf numFmtId="183" fontId="3" fillId="3" borderId="43" xfId="0" applyNumberFormat="1" applyFont="1" applyFill="1" applyBorder="1" applyAlignment="1" applyProtection="1">
      <alignment vertical="center"/>
      <protection locked="0"/>
    </xf>
    <xf numFmtId="183" fontId="3" fillId="3" borderId="37" xfId="0" applyNumberFormat="1" applyFont="1" applyFill="1" applyBorder="1" applyAlignment="1" applyProtection="1">
      <alignment vertical="center"/>
      <protection locked="0"/>
    </xf>
    <xf numFmtId="184" fontId="3" fillId="6" borderId="29" xfId="0" applyNumberFormat="1" applyFont="1" applyFill="1" applyBorder="1" applyAlignment="1" applyProtection="1">
      <alignment horizontal="right" vertical="center"/>
      <protection locked="0"/>
    </xf>
    <xf numFmtId="190" fontId="3" fillId="3" borderId="29" xfId="0" applyNumberFormat="1" applyFont="1" applyFill="1" applyBorder="1" applyAlignment="1" applyProtection="1">
      <alignment horizontal="center" vertical="center"/>
      <protection locked="0"/>
    </xf>
    <xf numFmtId="188" fontId="3" fillId="0" borderId="42" xfId="0" applyNumberFormat="1" applyFont="1" applyBorder="1" applyAlignment="1" applyProtection="1">
      <alignment horizontal="right" vertical="center"/>
      <protection locked="0"/>
    </xf>
    <xf numFmtId="188" fontId="3" fillId="6" borderId="42" xfId="0" applyNumberFormat="1" applyFont="1" applyFill="1" applyBorder="1" applyAlignment="1" applyProtection="1">
      <alignment horizontal="right" vertical="center"/>
      <protection locked="0"/>
    </xf>
    <xf numFmtId="0" fontId="17" fillId="6" borderId="0" xfId="0" applyFont="1" applyFill="1" applyAlignment="1">
      <alignment vertical="center"/>
    </xf>
    <xf numFmtId="0" fontId="25" fillId="3" borderId="0" xfId="0" applyFont="1" applyFill="1" applyAlignment="1" applyProtection="1">
      <alignment vertical="center"/>
      <protection locked="0"/>
    </xf>
    <xf numFmtId="0" fontId="24" fillId="3" borderId="0" xfId="0" applyFont="1" applyFill="1" applyAlignment="1" applyProtection="1">
      <alignment vertical="center"/>
      <protection locked="0"/>
    </xf>
    <xf numFmtId="0" fontId="24" fillId="6" borderId="0" xfId="0" applyFont="1" applyFill="1" applyAlignment="1" applyProtection="1">
      <alignment vertical="center"/>
      <protection locked="0"/>
    </xf>
    <xf numFmtId="0" fontId="25" fillId="7" borderId="46" xfId="0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/>
      <protection locked="0"/>
    </xf>
    <xf numFmtId="0" fontId="25" fillId="7" borderId="50" xfId="0" applyFont="1" applyFill="1" applyBorder="1" applyAlignment="1" applyProtection="1">
      <alignment horizontal="center" vertical="center"/>
      <protection locked="0"/>
    </xf>
    <xf numFmtId="0" fontId="25" fillId="7" borderId="38" xfId="0" applyFont="1" applyFill="1" applyBorder="1" applyAlignment="1" applyProtection="1">
      <alignment horizontal="center" vertical="center"/>
      <protection locked="0"/>
    </xf>
    <xf numFmtId="177" fontId="25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3" xfId="0" applyFont="1" applyFill="1" applyBorder="1" applyAlignment="1" applyProtection="1">
      <alignment horizontal="center" vertical="center"/>
      <protection locked="0"/>
    </xf>
    <xf numFmtId="0" fontId="25" fillId="3" borderId="0" xfId="0" applyFont="1" applyFill="1" applyAlignment="1" applyProtection="1">
      <alignment horizontal="center" vertical="center"/>
      <protection locked="0"/>
    </xf>
    <xf numFmtId="191" fontId="25" fillId="0" borderId="33" xfId="0" applyNumberFormat="1" applyFont="1" applyBorder="1" applyAlignment="1" applyProtection="1">
      <alignment horizontal="center" vertical="center"/>
      <protection locked="0"/>
    </xf>
    <xf numFmtId="0" fontId="24" fillId="6" borderId="15" xfId="0" applyFont="1" applyFill="1" applyBorder="1" applyAlignment="1" applyProtection="1">
      <alignment vertical="center"/>
      <protection locked="0"/>
    </xf>
    <xf numFmtId="0" fontId="24" fillId="0" borderId="48" xfId="0" applyFont="1" applyBorder="1" applyAlignment="1" applyProtection="1">
      <alignment vertical="center"/>
      <protection locked="0"/>
    </xf>
    <xf numFmtId="192" fontId="24" fillId="0" borderId="34" xfId="0" applyNumberFormat="1" applyFont="1" applyBorder="1" applyAlignment="1" applyProtection="1">
      <alignment horizontal="right" vertical="center"/>
      <protection locked="0"/>
    </xf>
    <xf numFmtId="0" fontId="25" fillId="3" borderId="36" xfId="0" applyFont="1" applyFill="1" applyBorder="1" applyAlignment="1" applyProtection="1">
      <alignment horizontal="center" vertical="center"/>
      <protection locked="0"/>
    </xf>
    <xf numFmtId="0" fontId="25" fillId="3" borderId="37" xfId="0" applyFont="1" applyFill="1" applyBorder="1" applyAlignment="1" applyProtection="1">
      <alignment horizontal="center" vertical="center"/>
      <protection locked="0"/>
    </xf>
    <xf numFmtId="191" fontId="25" fillId="0" borderId="36" xfId="0" applyNumberFormat="1" applyFont="1" applyBorder="1" applyAlignment="1" applyProtection="1">
      <alignment vertical="center"/>
      <protection locked="0"/>
    </xf>
    <xf numFmtId="184" fontId="24" fillId="6" borderId="43" xfId="0" applyNumberFormat="1" applyFont="1" applyFill="1" applyBorder="1" applyAlignment="1" applyProtection="1">
      <alignment vertical="center"/>
      <protection locked="0"/>
    </xf>
    <xf numFmtId="0" fontId="24" fillId="0" borderId="30" xfId="0" applyFont="1" applyBorder="1" applyAlignment="1" applyProtection="1">
      <alignment vertical="center"/>
      <protection locked="0"/>
    </xf>
    <xf numFmtId="192" fontId="24" fillId="0" borderId="42" xfId="0" applyNumberFormat="1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vertical="center"/>
    </xf>
    <xf numFmtId="177" fontId="25" fillId="2" borderId="32" xfId="0" applyNumberFormat="1" applyFont="1" applyFill="1" applyBorder="1" applyAlignment="1" applyProtection="1">
      <alignment horizontal="center" vertical="center"/>
      <protection locked="0"/>
    </xf>
    <xf numFmtId="0" fontId="25" fillId="2" borderId="31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77" fontId="25" fillId="2" borderId="55" xfId="0" applyNumberFormat="1" applyFont="1" applyFill="1" applyBorder="1" applyAlignment="1" applyProtection="1">
      <alignment horizontal="center" vertical="center"/>
      <protection locked="0"/>
    </xf>
    <xf numFmtId="177" fontId="25" fillId="2" borderId="56" xfId="0" applyNumberFormat="1" applyFont="1" applyFill="1" applyBorder="1" applyAlignment="1" applyProtection="1">
      <alignment horizontal="center" vertical="center"/>
      <protection locked="0"/>
    </xf>
    <xf numFmtId="0" fontId="24" fillId="3" borderId="29" xfId="0" applyFont="1" applyFill="1" applyBorder="1" applyAlignment="1" applyProtection="1">
      <alignment vertical="center" wrapText="1"/>
      <protection locked="0"/>
    </xf>
    <xf numFmtId="0" fontId="24" fillId="3" borderId="31" xfId="0" applyFont="1" applyFill="1" applyBorder="1" applyAlignment="1" applyProtection="1">
      <alignment horizontal="left" vertical="top" wrapText="1"/>
      <protection locked="0"/>
    </xf>
    <xf numFmtId="0" fontId="24" fillId="3" borderId="55" xfId="0" applyFont="1" applyFill="1" applyBorder="1" applyAlignment="1" applyProtection="1">
      <alignment horizontal="left" vertical="top" wrapText="1"/>
      <protection locked="0"/>
    </xf>
    <xf numFmtId="0" fontId="24" fillId="3" borderId="55" xfId="0" applyFont="1" applyFill="1" applyBorder="1" applyAlignment="1" applyProtection="1">
      <alignment horizontal="center" vertical="top" wrapText="1"/>
      <protection locked="0"/>
    </xf>
    <xf numFmtId="0" fontId="24" fillId="3" borderId="56" xfId="0" applyFont="1" applyFill="1" applyBorder="1" applyAlignment="1" applyProtection="1">
      <alignment horizontal="center" vertical="top" wrapText="1"/>
      <protection locked="0"/>
    </xf>
    <xf numFmtId="0" fontId="16" fillId="6" borderId="50" xfId="0" applyFont="1" applyFill="1" applyBorder="1" applyAlignment="1" applyProtection="1">
      <alignment horizontal="center" vertical="center" wrapText="1"/>
      <protection locked="0"/>
    </xf>
    <xf numFmtId="0" fontId="3" fillId="3" borderId="57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0" fontId="3" fillId="3" borderId="45" xfId="0" applyFont="1" applyFill="1" applyBorder="1" applyAlignment="1" applyProtection="1">
      <alignment vertical="center"/>
      <protection locked="0"/>
    </xf>
    <xf numFmtId="178" fontId="13" fillId="5" borderId="58" xfId="0" applyNumberFormat="1" applyFont="1" applyFill="1" applyBorder="1" applyAlignment="1" applyProtection="1">
      <alignment horizontal="right" vertical="center"/>
      <protection locked="0"/>
    </xf>
    <xf numFmtId="193" fontId="12" fillId="0" borderId="0" xfId="0" applyNumberFormat="1" applyFont="1" applyAlignment="1">
      <alignment horizontal="right" vertical="center"/>
    </xf>
    <xf numFmtId="194" fontId="13" fillId="0" borderId="0" xfId="0" applyNumberFormat="1" applyFont="1" applyAlignment="1" applyProtection="1">
      <alignment horizontal="right" vertical="center"/>
      <protection locked="0"/>
    </xf>
    <xf numFmtId="177" fontId="3" fillId="3" borderId="0" xfId="0" applyNumberFormat="1" applyFont="1" applyFill="1" applyAlignment="1" applyProtection="1">
      <alignment horizontal="right" vertical="center"/>
      <protection locked="0"/>
    </xf>
    <xf numFmtId="178" fontId="13" fillId="5" borderId="59" xfId="0" applyNumberFormat="1" applyFont="1" applyFill="1" applyBorder="1" applyAlignment="1" applyProtection="1">
      <alignment horizontal="right" vertical="center"/>
      <protection locked="0"/>
    </xf>
    <xf numFmtId="178" fontId="13" fillId="5" borderId="60" xfId="0" applyNumberFormat="1" applyFont="1" applyFill="1" applyBorder="1" applyAlignment="1" applyProtection="1">
      <alignment horizontal="right" vertical="center"/>
      <protection locked="0"/>
    </xf>
    <xf numFmtId="0" fontId="24" fillId="3" borderId="0" xfId="0" applyFont="1" applyFill="1" applyAlignment="1" applyProtection="1">
      <alignment horizontal="right" vertical="center"/>
      <protection locked="0"/>
    </xf>
    <xf numFmtId="194" fontId="26" fillId="0" borderId="37" xfId="0" applyNumberFormat="1" applyFont="1" applyBorder="1" applyAlignment="1" applyProtection="1">
      <alignment horizontal="right" vertical="center"/>
      <protection locked="0"/>
    </xf>
    <xf numFmtId="178" fontId="27" fillId="5" borderId="60" xfId="0" applyNumberFormat="1" applyFont="1" applyFill="1" applyBorder="1" applyAlignment="1" applyProtection="1">
      <alignment horizontal="right"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7" fillId="8" borderId="1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 applyProtection="1">
      <alignment horizontal="center" vertical="center"/>
      <protection locked="0"/>
    </xf>
    <xf numFmtId="0" fontId="25" fillId="2" borderId="11" xfId="0" applyFont="1" applyFill="1" applyBorder="1" applyAlignment="1" applyProtection="1">
      <alignment horizontal="center" vertical="center"/>
      <protection locked="0"/>
    </xf>
    <xf numFmtId="0" fontId="25" fillId="2" borderId="12" xfId="0" applyFont="1" applyFill="1" applyBorder="1" applyAlignment="1" applyProtection="1">
      <alignment horizontal="center" vertical="center"/>
      <protection locked="0"/>
    </xf>
    <xf numFmtId="0" fontId="25" fillId="2" borderId="61" xfId="0" applyFont="1" applyFill="1" applyBorder="1" applyAlignment="1" applyProtection="1">
      <alignment horizontal="center" vertical="center"/>
      <protection locked="0"/>
    </xf>
    <xf numFmtId="177" fontId="25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27" fillId="8" borderId="62" xfId="0" applyFont="1" applyFill="1" applyBorder="1" applyAlignment="1">
      <alignment horizontal="center" vertical="center" wrapText="1"/>
    </xf>
    <xf numFmtId="0" fontId="25" fillId="2" borderId="57" xfId="0" applyFont="1" applyFill="1" applyBorder="1" applyAlignment="1" applyProtection="1">
      <alignment horizontal="center" vertical="center" wrapText="1"/>
      <protection locked="0"/>
    </xf>
    <xf numFmtId="177" fontId="25" fillId="0" borderId="63" xfId="0" applyNumberFormat="1" applyFont="1" applyBorder="1" applyAlignment="1" applyProtection="1">
      <alignment horizontal="center" vertical="center"/>
      <protection locked="0"/>
    </xf>
    <xf numFmtId="177" fontId="25" fillId="0" borderId="57" xfId="0" applyNumberFormat="1" applyFont="1" applyBorder="1" applyAlignment="1" applyProtection="1">
      <alignment horizontal="center" vertical="center"/>
      <protection locked="0"/>
    </xf>
    <xf numFmtId="186" fontId="25" fillId="3" borderId="35" xfId="0" applyNumberFormat="1" applyFont="1" applyFill="1" applyBorder="1" applyAlignment="1" applyProtection="1">
      <alignment horizontal="center" vertical="center"/>
      <protection locked="0"/>
    </xf>
    <xf numFmtId="178" fontId="25" fillId="3" borderId="51" xfId="0" applyNumberFormat="1" applyFont="1" applyFill="1" applyBorder="1" applyAlignment="1" applyProtection="1">
      <alignment horizontal="right" vertical="center"/>
      <protection locked="0"/>
    </xf>
    <xf numFmtId="0" fontId="25" fillId="2" borderId="48" xfId="0" applyFont="1" applyFill="1" applyBorder="1" applyAlignment="1" applyProtection="1">
      <alignment horizontal="center" vertical="center" wrapText="1"/>
      <protection locked="0"/>
    </xf>
    <xf numFmtId="177" fontId="25" fillId="0" borderId="36" xfId="0" applyNumberFormat="1" applyFont="1" applyBorder="1" applyAlignment="1" applyProtection="1">
      <alignment horizontal="center" vertical="center"/>
      <protection locked="0"/>
    </xf>
    <xf numFmtId="177" fontId="25" fillId="0" borderId="30" xfId="0" applyNumberFormat="1" applyFont="1" applyBorder="1" applyAlignment="1" applyProtection="1">
      <alignment horizontal="center" vertical="center"/>
      <protection locked="0"/>
    </xf>
    <xf numFmtId="186" fontId="25" fillId="3" borderId="29" xfId="0" applyNumberFormat="1" applyFont="1" applyFill="1" applyBorder="1" applyAlignment="1" applyProtection="1">
      <alignment horizontal="center" vertical="center"/>
      <protection locked="0"/>
    </xf>
    <xf numFmtId="194" fontId="25" fillId="3" borderId="42" xfId="0" applyNumberFormat="1" applyFont="1" applyFill="1" applyBorder="1" applyAlignment="1" applyProtection="1">
      <alignment horizontal="right" vertical="center"/>
      <protection locked="0"/>
    </xf>
    <xf numFmtId="194" fontId="25" fillId="3" borderId="64" xfId="0" applyNumberFormat="1" applyFont="1" applyFill="1" applyBorder="1" applyAlignment="1" applyProtection="1">
      <alignment horizontal="right" vertical="center"/>
      <protection locked="0"/>
    </xf>
    <xf numFmtId="177" fontId="25" fillId="0" borderId="65" xfId="0" applyNumberFormat="1" applyFont="1" applyBorder="1" applyAlignment="1" applyProtection="1">
      <alignment horizontal="center" vertical="center"/>
      <protection locked="0"/>
    </xf>
    <xf numFmtId="177" fontId="25" fillId="0" borderId="66" xfId="0" applyNumberFormat="1" applyFont="1" applyBorder="1" applyAlignment="1" applyProtection="1">
      <alignment horizontal="center" vertical="center"/>
      <protection locked="0"/>
    </xf>
    <xf numFmtId="178" fontId="25" fillId="3" borderId="15" xfId="0" applyNumberFormat="1" applyFont="1" applyFill="1" applyBorder="1" applyAlignment="1" applyProtection="1">
      <alignment horizontal="right" vertical="center"/>
      <protection locked="0"/>
    </xf>
    <xf numFmtId="0" fontId="27" fillId="8" borderId="67" xfId="0" applyFont="1" applyFill="1" applyBorder="1" applyAlignment="1">
      <alignment horizontal="center" vertical="center" wrapText="1"/>
    </xf>
    <xf numFmtId="0" fontId="25" fillId="2" borderId="68" xfId="0" applyFont="1" applyFill="1" applyBorder="1" applyAlignment="1" applyProtection="1">
      <alignment horizontal="center" vertical="center" wrapText="1"/>
      <protection locked="0"/>
    </xf>
    <xf numFmtId="177" fontId="25" fillId="0" borderId="69" xfId="0" applyNumberFormat="1" applyFont="1" applyBorder="1" applyAlignment="1" applyProtection="1">
      <alignment horizontal="center" vertical="center"/>
      <protection locked="0"/>
    </xf>
    <xf numFmtId="177" fontId="25" fillId="0" borderId="68" xfId="0" applyNumberFormat="1" applyFont="1" applyBorder="1" applyAlignment="1" applyProtection="1">
      <alignment horizontal="center" vertical="center"/>
      <protection locked="0"/>
    </xf>
    <xf numFmtId="177" fontId="25" fillId="0" borderId="0" xfId="0" applyNumberFormat="1" applyFont="1" applyAlignment="1" applyProtection="1">
      <alignment horizontal="left" vertical="center"/>
      <protection locked="0"/>
    </xf>
    <xf numFmtId="0" fontId="27" fillId="8" borderId="31" xfId="0" applyFont="1" applyFill="1" applyBorder="1" applyAlignment="1" applyProtection="1">
      <alignment vertical="center"/>
      <protection locked="0"/>
    </xf>
    <xf numFmtId="0" fontId="27" fillId="8" borderId="55" xfId="0" applyFont="1" applyFill="1" applyBorder="1" applyAlignment="1" applyProtection="1">
      <alignment vertical="center"/>
      <protection locked="0"/>
    </xf>
    <xf numFmtId="0" fontId="25" fillId="4" borderId="35" xfId="0" applyFont="1" applyFill="1" applyBorder="1" applyAlignment="1" applyProtection="1">
      <alignment horizontal="center"/>
      <protection locked="0"/>
    </xf>
    <xf numFmtId="0" fontId="25" fillId="4" borderId="31" xfId="0" applyFont="1" applyFill="1" applyBorder="1" applyAlignment="1" applyProtection="1">
      <alignment horizontal="center" vertical="center" wrapText="1"/>
      <protection locked="0"/>
    </xf>
    <xf numFmtId="0" fontId="25" fillId="4" borderId="56" xfId="0" applyFont="1" applyFill="1" applyBorder="1" applyAlignment="1" applyProtection="1">
      <alignment horizontal="center" vertical="center" wrapText="1"/>
      <protection locked="0"/>
    </xf>
    <xf numFmtId="177" fontId="25" fillId="4" borderId="65" xfId="0" applyNumberFormat="1" applyFont="1" applyFill="1" applyBorder="1" applyAlignment="1" applyProtection="1">
      <alignment horizontal="center" vertical="center" wrapText="1"/>
      <protection locked="0"/>
    </xf>
    <xf numFmtId="177" fontId="25" fillId="4" borderId="70" xfId="0" applyNumberFormat="1" applyFont="1" applyFill="1" applyBorder="1" applyAlignment="1" applyProtection="1">
      <alignment horizontal="center" vertical="center" wrapText="1"/>
      <protection locked="0"/>
    </xf>
    <xf numFmtId="0" fontId="25" fillId="4" borderId="65" xfId="0" applyFont="1" applyFill="1" applyBorder="1" applyAlignment="1">
      <alignment horizontal="left" vertical="top" wrapText="1"/>
    </xf>
    <xf numFmtId="0" fontId="25" fillId="4" borderId="29" xfId="0" applyFont="1" applyFill="1" applyBorder="1" applyAlignment="1" applyProtection="1">
      <alignment horizontal="center" vertical="top" wrapText="1"/>
      <protection locked="0"/>
    </xf>
    <xf numFmtId="195" fontId="25" fillId="4" borderId="31" xfId="0" applyNumberFormat="1" applyFont="1" applyFill="1" applyBorder="1" applyAlignment="1" applyProtection="1">
      <alignment horizontal="center" vertical="center" wrapText="1"/>
      <protection locked="0"/>
    </xf>
    <xf numFmtId="195" fontId="25" fillId="4" borderId="56" xfId="0" applyNumberFormat="1" applyFont="1" applyFill="1" applyBorder="1" applyAlignment="1" applyProtection="1">
      <alignment horizontal="center" vertical="center" wrapText="1"/>
      <protection locked="0"/>
    </xf>
    <xf numFmtId="0" fontId="25" fillId="4" borderId="36" xfId="0" applyFont="1" applyFill="1" applyBorder="1" applyAlignment="1">
      <alignment horizontal="left" vertical="top" wrapText="1"/>
    </xf>
    <xf numFmtId="0" fontId="25" fillId="0" borderId="36" xfId="0" applyFont="1" applyBorder="1" applyAlignment="1" applyProtection="1">
      <alignment horizontal="right" vertical="center"/>
      <protection locked="0"/>
    </xf>
    <xf numFmtId="0" fontId="24" fillId="0" borderId="31" xfId="0" applyFont="1" applyBorder="1" applyAlignment="1" applyProtection="1">
      <alignment horizontal="center" vertical="center"/>
      <protection locked="0"/>
    </xf>
    <xf numFmtId="0" fontId="24" fillId="0" borderId="56" xfId="0" applyFont="1" applyBorder="1" applyAlignment="1" applyProtection="1">
      <alignment horizontal="center" vertical="center"/>
      <protection locked="0"/>
    </xf>
    <xf numFmtId="0" fontId="24" fillId="0" borderId="33" xfId="0" applyFont="1" applyBorder="1" applyAlignment="1" applyProtection="1">
      <alignment vertical="center"/>
      <protection locked="0"/>
    </xf>
    <xf numFmtId="0" fontId="25" fillId="0" borderId="31" xfId="0" applyFont="1" applyBorder="1" applyAlignment="1" applyProtection="1">
      <alignment horizontal="right" vertical="center"/>
      <protection locked="0"/>
    </xf>
    <xf numFmtId="0" fontId="24" fillId="0" borderId="36" xfId="0" applyFont="1" applyBorder="1" applyAlignment="1">
      <alignment vertical="center"/>
    </xf>
    <xf numFmtId="0" fontId="25" fillId="0" borderId="31" xfId="0" applyFont="1" applyBorder="1" applyAlignment="1" applyProtection="1">
      <alignment horizontal="right" vertical="center" wrapText="1"/>
      <protection locked="0"/>
    </xf>
    <xf numFmtId="0" fontId="25" fillId="0" borderId="31" xfId="0" applyFont="1" applyBorder="1" applyAlignment="1" applyProtection="1">
      <alignment horizontal="left" vertical="top" wrapText="1"/>
      <protection locked="0"/>
    </xf>
    <xf numFmtId="0" fontId="28" fillId="0" borderId="0" xfId="0" applyFont="1" applyAlignment="1">
      <alignment vertical="center"/>
    </xf>
    <xf numFmtId="0" fontId="25" fillId="0" borderId="0" xfId="0" applyFont="1" applyAlignment="1" applyProtection="1">
      <alignment horizontal="left" vertical="center"/>
      <protection locked="0"/>
    </xf>
    <xf numFmtId="177" fontId="25" fillId="8" borderId="66" xfId="0" applyNumberFormat="1" applyFont="1" applyFill="1" applyBorder="1" applyAlignment="1" applyProtection="1">
      <alignment horizontal="left" vertical="center"/>
      <protection locked="0"/>
    </xf>
    <xf numFmtId="0" fontId="25" fillId="4" borderId="66" xfId="0" applyFont="1" applyFill="1" applyBorder="1" applyAlignment="1">
      <alignment horizontal="left" vertical="top" wrapText="1"/>
    </xf>
    <xf numFmtId="0" fontId="25" fillId="4" borderId="35" xfId="0" applyFont="1" applyFill="1" applyBorder="1" applyAlignment="1">
      <alignment horizontal="left" vertical="top" wrapText="1"/>
    </xf>
    <xf numFmtId="0" fontId="25" fillId="4" borderId="30" xfId="0" applyFont="1" applyFill="1" applyBorder="1" applyAlignment="1">
      <alignment horizontal="left" vertical="top" wrapText="1"/>
    </xf>
    <xf numFmtId="0" fontId="25" fillId="4" borderId="34" xfId="0" applyFont="1" applyFill="1" applyBorder="1" applyAlignment="1">
      <alignment horizontal="left" vertical="top" wrapText="1"/>
    </xf>
    <xf numFmtId="177" fontId="25" fillId="0" borderId="32" xfId="0" applyNumberFormat="1" applyFont="1" applyBorder="1" applyAlignment="1" applyProtection="1">
      <alignment horizontal="left" vertical="center"/>
      <protection locked="0"/>
    </xf>
    <xf numFmtId="0" fontId="24" fillId="0" borderId="30" xfId="0" applyFont="1" applyBorder="1" applyAlignment="1">
      <alignment vertical="center"/>
    </xf>
    <xf numFmtId="0" fontId="25" fillId="4" borderId="35" xfId="0" applyFont="1" applyFill="1" applyBorder="1" applyAlignment="1">
      <alignment vertical="top" wrapText="1"/>
    </xf>
    <xf numFmtId="0" fontId="25" fillId="0" borderId="55" xfId="0" applyFont="1" applyBorder="1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144145</xdr:colOff>
      <xdr:row>0</xdr:row>
      <xdr:rowOff>86360</xdr:rowOff>
    </xdr:from>
    <xdr:to>
      <xdr:col>0</xdr:col>
      <xdr:colOff>978535</xdr:colOff>
      <xdr:row>3</xdr:row>
      <xdr:rowOff>97155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44145" y="86360"/>
          <a:ext cx="834390" cy="601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224790</xdr:colOff>
      <xdr:row>0</xdr:row>
      <xdr:rowOff>172085</xdr:rowOff>
    </xdr:from>
    <xdr:to>
      <xdr:col>0</xdr:col>
      <xdr:colOff>1059180</xdr:colOff>
      <xdr:row>3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4790" y="172085"/>
          <a:ext cx="834390" cy="601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M90"/>
  <sheetViews>
    <sheetView tabSelected="1" zoomScale="85" zoomScaleNormal="85" workbookViewId="0">
      <selection activeCell="K81" sqref="K81"/>
    </sheetView>
  </sheetViews>
  <sheetFormatPr defaultColWidth="9" defaultRowHeight="15"/>
  <cols>
    <col min="1" max="1" width="15.8796296296296" style="6" customWidth="1"/>
    <col min="2" max="2" width="18.6296296296296" style="6" customWidth="1"/>
    <col min="3" max="3" width="15.1574074074074" style="6" customWidth="1"/>
    <col min="4" max="4" width="13.3796296296296" style="6" customWidth="1"/>
    <col min="5" max="5" width="13.8796296296296" style="181" customWidth="1"/>
    <col min="6" max="7" width="15.5462962962963" style="6" customWidth="1"/>
    <col min="8" max="8" width="13.5" style="6" customWidth="1"/>
    <col min="9" max="9" width="12.6296296296296" style="6" customWidth="1"/>
    <col min="10" max="10" width="10.5" style="3" customWidth="1"/>
    <col min="11" max="13" width="15.2037037037037" style="3" customWidth="1"/>
    <col min="14" max="16384" width="9" style="3" customWidth="1"/>
  </cols>
  <sheetData>
    <row r="1" ht="7.5" customHeight="1" spans="2:10">
      <c r="B1" s="182"/>
      <c r="C1" s="182"/>
      <c r="D1" s="182"/>
      <c r="E1" s="182"/>
      <c r="F1" s="182"/>
      <c r="G1" s="182"/>
      <c r="H1" s="182"/>
      <c r="I1" s="182"/>
      <c r="J1" s="6"/>
    </row>
    <row r="2" s="179" customFormat="1" ht="19.5" customHeight="1" spans="1:9">
      <c r="A2" s="183"/>
      <c r="B2" s="184" t="s">
        <v>0</v>
      </c>
      <c r="C2" s="185" t="s">
        <v>1</v>
      </c>
      <c r="D2" s="185"/>
      <c r="E2" s="186"/>
      <c r="F2" s="186"/>
      <c r="G2" s="184" t="s">
        <v>2</v>
      </c>
      <c r="H2" s="187" t="s">
        <v>3</v>
      </c>
      <c r="I2" s="187"/>
    </row>
    <row r="3" s="179" customFormat="1" ht="19.5" customHeight="1" spans="1:9">
      <c r="A3" s="183"/>
      <c r="B3" s="184" t="s">
        <v>4</v>
      </c>
      <c r="C3" s="188">
        <v>47712</v>
      </c>
      <c r="D3" s="188"/>
      <c r="E3" s="186"/>
      <c r="F3" s="186"/>
      <c r="G3" s="184" t="s">
        <v>5</v>
      </c>
      <c r="H3" s="189">
        <v>45937</v>
      </c>
      <c r="I3" s="189"/>
    </row>
    <row r="4" s="179" customFormat="1" ht="19.5" customHeight="1" spans="1:9">
      <c r="A4" s="183"/>
      <c r="B4" s="184" t="s">
        <v>6</v>
      </c>
      <c r="C4" s="188" t="s">
        <v>7</v>
      </c>
      <c r="D4" s="188"/>
      <c r="E4" s="190"/>
      <c r="F4" s="186"/>
      <c r="G4" s="191" t="s">
        <v>8</v>
      </c>
      <c r="H4" s="192">
        <v>5</v>
      </c>
      <c r="I4" s="192"/>
    </row>
    <row r="5" s="179" customFormat="1" ht="19.5" customHeight="1" spans="1:9">
      <c r="A5" s="183"/>
      <c r="B5" s="184" t="s">
        <v>9</v>
      </c>
      <c r="C5" s="187">
        <v>0</v>
      </c>
      <c r="D5" s="190"/>
      <c r="E5" s="190"/>
      <c r="F5" s="186"/>
      <c r="G5" s="184" t="s">
        <v>10</v>
      </c>
      <c r="H5" s="189"/>
      <c r="I5" s="189"/>
    </row>
    <row r="7" ht="17.4" customHeight="1" spans="1:9">
      <c r="A7" s="193" t="s">
        <v>11</v>
      </c>
      <c r="B7" s="193"/>
      <c r="C7" s="193"/>
      <c r="D7" s="193"/>
      <c r="E7" s="193"/>
      <c r="F7" s="193"/>
      <c r="G7" s="193"/>
      <c r="H7" s="193"/>
      <c r="I7" s="193"/>
    </row>
    <row r="8" spans="5:5">
      <c r="E8" s="6"/>
    </row>
    <row r="9" ht="15.6" customHeight="1" spans="1:1">
      <c r="A9" s="183" t="s">
        <v>12</v>
      </c>
    </row>
    <row r="10" ht="78.75" customHeight="1" spans="1:9">
      <c r="A10" s="194" t="s">
        <v>13</v>
      </c>
      <c r="B10" s="195" t="s">
        <v>14</v>
      </c>
      <c r="C10" s="195"/>
      <c r="D10" s="195"/>
      <c r="E10" s="194" t="s">
        <v>15</v>
      </c>
      <c r="F10" s="195" t="s">
        <v>16</v>
      </c>
      <c r="G10" s="196" t="s">
        <v>17</v>
      </c>
      <c r="H10" s="196" t="s">
        <v>18</v>
      </c>
      <c r="I10" s="320" t="s">
        <v>19</v>
      </c>
    </row>
    <row r="11" ht="17.25" customHeight="1" spans="1:9">
      <c r="A11" s="197" t="s">
        <v>20</v>
      </c>
      <c r="B11" s="198" t="s">
        <v>21</v>
      </c>
      <c r="C11" s="199"/>
      <c r="D11" s="200"/>
      <c r="E11" s="201">
        <v>2500</v>
      </c>
      <c r="F11" s="202">
        <v>1</v>
      </c>
      <c r="G11" s="203">
        <f>'Body Cost Breakdown'!F23</f>
        <v>121.63</v>
      </c>
      <c r="H11" s="204">
        <f>G11*F11</f>
        <v>121.63</v>
      </c>
      <c r="I11" s="321"/>
    </row>
    <row r="12" ht="17.25" customHeight="1" spans="1:9">
      <c r="A12" s="205" t="s">
        <v>22</v>
      </c>
      <c r="B12" s="198" t="s">
        <v>23</v>
      </c>
      <c r="C12" s="199"/>
      <c r="D12" s="200"/>
      <c r="E12" s="201">
        <v>2500</v>
      </c>
      <c r="F12" s="202">
        <v>3</v>
      </c>
      <c r="G12" s="206">
        <v>0.449</v>
      </c>
      <c r="H12" s="207">
        <f t="shared" ref="H12:H16" si="0">G12*F12</f>
        <v>1.347</v>
      </c>
      <c r="I12" s="322"/>
    </row>
    <row r="13" ht="17.25" customHeight="1" spans="1:9">
      <c r="A13" s="205"/>
      <c r="B13" s="198"/>
      <c r="C13" s="199"/>
      <c r="D13" s="200"/>
      <c r="E13" s="201"/>
      <c r="F13" s="202"/>
      <c r="G13" s="206"/>
      <c r="H13" s="207"/>
      <c r="I13" s="322"/>
    </row>
    <row r="14" ht="17.25" customHeight="1" spans="1:9">
      <c r="A14" s="205"/>
      <c r="B14" s="198"/>
      <c r="C14" s="199"/>
      <c r="D14" s="200"/>
      <c r="E14" s="201"/>
      <c r="F14" s="202"/>
      <c r="G14" s="206"/>
      <c r="H14" s="207"/>
      <c r="I14" s="322"/>
    </row>
    <row r="15" ht="17.25" customHeight="1" spans="1:9">
      <c r="A15" s="205"/>
      <c r="B15" s="198"/>
      <c r="C15" s="199"/>
      <c r="D15" s="200"/>
      <c r="E15" s="208"/>
      <c r="F15" s="202"/>
      <c r="G15" s="206"/>
      <c r="H15" s="207">
        <f t="shared" si="0"/>
        <v>0</v>
      </c>
      <c r="I15" s="322"/>
    </row>
    <row r="16" ht="17.25" customHeight="1" spans="1:9">
      <c r="A16" s="209"/>
      <c r="B16" s="210"/>
      <c r="C16" s="211"/>
      <c r="D16" s="212"/>
      <c r="E16" s="213"/>
      <c r="F16" s="214"/>
      <c r="G16" s="215"/>
      <c r="H16" s="216">
        <f t="shared" si="0"/>
        <v>0</v>
      </c>
      <c r="I16" s="323"/>
    </row>
    <row r="17" ht="15.6" customHeight="1" spans="7:9">
      <c r="G17" s="217"/>
      <c r="H17" s="217"/>
      <c r="I17" s="324">
        <f>SUM(H11:H16)</f>
        <v>122.977</v>
      </c>
    </row>
    <row r="18" spans="7:9">
      <c r="G18" s="217"/>
      <c r="H18" s="217"/>
      <c r="I18" s="325">
        <f>I17/$G$68</f>
        <v>0.726931374461908</v>
      </c>
    </row>
    <row r="19" ht="15.6" customHeight="1" spans="7:9">
      <c r="G19" s="217"/>
      <c r="H19" s="217"/>
      <c r="I19" s="326"/>
    </row>
    <row r="20" spans="7:9">
      <c r="G20" s="217"/>
      <c r="H20" s="218"/>
      <c r="I20" s="3"/>
    </row>
    <row r="21" ht="15.6" customHeight="1" spans="1:9">
      <c r="A21" s="126" t="s">
        <v>24</v>
      </c>
      <c r="B21" s="120"/>
      <c r="C21" s="120"/>
      <c r="D21" s="120"/>
      <c r="F21" s="120"/>
      <c r="G21" s="219"/>
      <c r="H21" s="219"/>
      <c r="I21" s="327"/>
    </row>
    <row r="22" ht="31.95" customHeight="1" spans="1:9">
      <c r="A22" s="194" t="s">
        <v>25</v>
      </c>
      <c r="B22" s="220" t="s">
        <v>26</v>
      </c>
      <c r="C22" s="221" t="s">
        <v>27</v>
      </c>
      <c r="D22" s="222"/>
      <c r="E22" s="223" t="s">
        <v>15</v>
      </c>
      <c r="F22" s="223" t="s">
        <v>16</v>
      </c>
      <c r="G22" s="196" t="s">
        <v>17</v>
      </c>
      <c r="H22" s="196" t="s">
        <v>18</v>
      </c>
      <c r="I22" s="3"/>
    </row>
    <row r="23" ht="17.25" customHeight="1" spans="1:9">
      <c r="A23" s="224"/>
      <c r="B23" s="225" t="s">
        <v>28</v>
      </c>
      <c r="C23" s="226" t="s">
        <v>29</v>
      </c>
      <c r="D23" s="227"/>
      <c r="E23" s="201">
        <v>2500</v>
      </c>
      <c r="F23" s="228">
        <v>1</v>
      </c>
      <c r="G23" s="229">
        <v>11.378275862069</v>
      </c>
      <c r="H23" s="230">
        <f t="shared" ref="H23:H33" si="1">ROUND(F23*G23,2)</f>
        <v>11.38</v>
      </c>
      <c r="I23" s="3"/>
    </row>
    <row r="24" ht="16.5" customHeight="1" spans="1:9">
      <c r="A24" s="231"/>
      <c r="B24" s="232" t="s">
        <v>30</v>
      </c>
      <c r="C24" s="226" t="s">
        <v>31</v>
      </c>
      <c r="D24" s="227"/>
      <c r="E24" s="201">
        <v>2500</v>
      </c>
      <c r="F24" s="228">
        <v>1</v>
      </c>
      <c r="G24" s="229">
        <v>5.8611724137931</v>
      </c>
      <c r="H24" s="230">
        <f t="shared" si="1"/>
        <v>5.86</v>
      </c>
      <c r="I24" s="3"/>
    </row>
    <row r="25" ht="16.5" customHeight="1" spans="1:9">
      <c r="A25" s="231"/>
      <c r="B25" s="232" t="s">
        <v>32</v>
      </c>
      <c r="C25" s="226" t="s">
        <v>33</v>
      </c>
      <c r="D25" s="227"/>
      <c r="E25" s="201">
        <v>2500</v>
      </c>
      <c r="F25" s="228">
        <v>2</v>
      </c>
      <c r="G25" s="229">
        <v>1.3813793103448</v>
      </c>
      <c r="H25" s="230">
        <f t="shared" si="1"/>
        <v>2.76</v>
      </c>
      <c r="I25" s="3"/>
    </row>
    <row r="26" ht="16.5" customHeight="1" spans="1:9">
      <c r="A26" s="231"/>
      <c r="B26" s="232" t="s">
        <v>34</v>
      </c>
      <c r="C26" s="226" t="s">
        <v>35</v>
      </c>
      <c r="D26" s="227"/>
      <c r="E26" s="201">
        <v>2500</v>
      </c>
      <c r="F26" s="228">
        <v>1</v>
      </c>
      <c r="G26" s="229">
        <v>0.88</v>
      </c>
      <c r="H26" s="230">
        <f t="shared" si="1"/>
        <v>0.88</v>
      </c>
      <c r="I26" s="3"/>
    </row>
    <row r="27" ht="16.5" customHeight="1" spans="1:9">
      <c r="A27" s="231"/>
      <c r="B27" s="232" t="s">
        <v>36</v>
      </c>
      <c r="C27" s="226"/>
      <c r="D27" s="227"/>
      <c r="E27" s="201">
        <v>2500</v>
      </c>
      <c r="F27" s="228">
        <v>4</v>
      </c>
      <c r="G27" s="229">
        <v>0.204303448275862</v>
      </c>
      <c r="H27" s="230">
        <f t="shared" si="1"/>
        <v>0.82</v>
      </c>
      <c r="I27" s="3"/>
    </row>
    <row r="28" ht="16.5" customHeight="1" spans="1:9">
      <c r="A28" s="231"/>
      <c r="B28" s="232" t="s">
        <v>37</v>
      </c>
      <c r="C28" s="226"/>
      <c r="D28" s="227"/>
      <c r="E28" s="201">
        <v>2500</v>
      </c>
      <c r="F28" s="228">
        <v>4</v>
      </c>
      <c r="G28" s="229">
        <v>0.0719540229885057</v>
      </c>
      <c r="H28" s="230">
        <f t="shared" si="1"/>
        <v>0.29</v>
      </c>
      <c r="I28" s="3"/>
    </row>
    <row r="29" ht="16.5" customHeight="1" spans="1:9">
      <c r="A29" s="231"/>
      <c r="B29" s="232" t="s">
        <v>38</v>
      </c>
      <c r="C29" s="226"/>
      <c r="D29" s="227"/>
      <c r="E29" s="201">
        <v>2500</v>
      </c>
      <c r="F29" s="228">
        <v>2</v>
      </c>
      <c r="G29" s="229">
        <v>0.54689655172414</v>
      </c>
      <c r="H29" s="230">
        <f t="shared" si="1"/>
        <v>1.09</v>
      </c>
      <c r="I29" s="3"/>
    </row>
    <row r="30" ht="16.5" customHeight="1" spans="1:9">
      <c r="A30" s="231"/>
      <c r="B30" s="232" t="s">
        <v>39</v>
      </c>
      <c r="C30" s="226"/>
      <c r="D30" s="227"/>
      <c r="E30" s="201">
        <v>2500</v>
      </c>
      <c r="F30" s="228">
        <v>1</v>
      </c>
      <c r="G30" s="229">
        <v>0.84</v>
      </c>
      <c r="H30" s="230">
        <f t="shared" si="1"/>
        <v>0.84</v>
      </c>
      <c r="I30" s="3"/>
    </row>
    <row r="31" ht="16.5" customHeight="1" spans="1:9">
      <c r="A31" s="231"/>
      <c r="B31" s="232" t="s">
        <v>40</v>
      </c>
      <c r="C31" s="226"/>
      <c r="D31" s="227"/>
      <c r="E31" s="201">
        <v>2500</v>
      </c>
      <c r="F31" s="228">
        <v>1</v>
      </c>
      <c r="G31" s="229">
        <v>0.05</v>
      </c>
      <c r="H31" s="230">
        <f t="shared" si="1"/>
        <v>0.05</v>
      </c>
      <c r="I31" s="3"/>
    </row>
    <row r="32" ht="16.5" customHeight="1" spans="1:9">
      <c r="A32" s="231"/>
      <c r="B32" s="232"/>
      <c r="C32" s="226"/>
      <c r="D32" s="227"/>
      <c r="E32" s="201"/>
      <c r="F32" s="228"/>
      <c r="G32" s="229"/>
      <c r="H32" s="230">
        <f t="shared" si="1"/>
        <v>0</v>
      </c>
      <c r="I32" s="3"/>
    </row>
    <row r="33" ht="16.5" customHeight="1" spans="1:9">
      <c r="A33" s="231"/>
      <c r="B33" s="233"/>
      <c r="C33" s="234"/>
      <c r="D33" s="235"/>
      <c r="E33" s="201"/>
      <c r="F33" s="228"/>
      <c r="G33" s="229"/>
      <c r="H33" s="236"/>
      <c r="I33" s="3"/>
    </row>
    <row r="34" ht="16.5" customHeight="1" spans="1:9">
      <c r="A34" s="231"/>
      <c r="B34" s="225" t="s">
        <v>41</v>
      </c>
      <c r="C34" s="234"/>
      <c r="D34" s="235"/>
      <c r="E34" s="201"/>
      <c r="F34" s="237">
        <v>1</v>
      </c>
      <c r="G34" s="238">
        <v>0.3</v>
      </c>
      <c r="H34" s="236">
        <f>ROUND(F34*G34,2)</f>
        <v>0.3</v>
      </c>
      <c r="I34" s="3"/>
    </row>
    <row r="35" spans="1:9">
      <c r="A35" s="239"/>
      <c r="B35" s="240" t="s">
        <v>42</v>
      </c>
      <c r="C35" s="226"/>
      <c r="D35" s="227"/>
      <c r="E35" s="201"/>
      <c r="F35" s="237">
        <v>1</v>
      </c>
      <c r="G35" s="241">
        <v>4.02913043478261</v>
      </c>
      <c r="H35" s="236">
        <f>G35</f>
        <v>4.02913043478261</v>
      </c>
      <c r="I35" s="3"/>
    </row>
    <row r="36" ht="15.6" customHeight="1" spans="1:9">
      <c r="A36" s="242" t="s">
        <v>43</v>
      </c>
      <c r="B36" s="243"/>
      <c r="C36" s="243"/>
      <c r="D36" s="243"/>
      <c r="E36" s="244"/>
      <c r="F36" s="245"/>
      <c r="G36" s="246">
        <v>0.12</v>
      </c>
      <c r="H36" s="247">
        <f>ROUND((SUM(H23:H35)*G36),2)</f>
        <v>3.4</v>
      </c>
      <c r="I36" s="328">
        <f>SUM(H23:H36)</f>
        <v>31.6991304347826</v>
      </c>
    </row>
    <row r="37" spans="9:9">
      <c r="I37" s="325">
        <f>I36/$G$68</f>
        <v>0.187377253114028</v>
      </c>
    </row>
    <row r="41" ht="15.6" customHeight="1" spans="1:9">
      <c r="A41" s="126" t="s">
        <v>44</v>
      </c>
      <c r="B41" s="120"/>
      <c r="C41" s="120"/>
      <c r="D41" s="120"/>
      <c r="F41" s="120"/>
      <c r="G41" s="248"/>
      <c r="H41" s="248"/>
      <c r="I41" s="327"/>
    </row>
    <row r="42" ht="63.15" customHeight="1" spans="1:9">
      <c r="A42" s="220" t="s">
        <v>45</v>
      </c>
      <c r="B42" s="221" t="s">
        <v>46</v>
      </c>
      <c r="C42" s="249"/>
      <c r="D42" s="194" t="s">
        <v>47</v>
      </c>
      <c r="E42" s="250" t="s">
        <v>48</v>
      </c>
      <c r="F42" s="250" t="s">
        <v>49</v>
      </c>
      <c r="G42" s="250" t="s">
        <v>50</v>
      </c>
      <c r="H42" s="196" t="s">
        <v>18</v>
      </c>
      <c r="I42" s="3"/>
    </row>
    <row r="43" ht="17.25" customHeight="1" spans="1:9">
      <c r="A43" s="251"/>
      <c r="B43" s="252"/>
      <c r="C43" s="253"/>
      <c r="D43" s="254"/>
      <c r="E43" s="255"/>
      <c r="F43" s="207"/>
      <c r="G43" s="256">
        <v>0.03</v>
      </c>
      <c r="H43" s="236">
        <f>ROUND(E43*F43*(1+G43),2)</f>
        <v>0</v>
      </c>
      <c r="I43" s="3"/>
    </row>
    <row r="44" ht="15.6" customHeight="1" spans="1:9">
      <c r="A44" s="257"/>
      <c r="B44" s="258"/>
      <c r="C44" s="259"/>
      <c r="D44" s="260"/>
      <c r="E44" s="261"/>
      <c r="F44" s="262"/>
      <c r="G44" s="263"/>
      <c r="H44" s="247">
        <f>ROUND(E44*F44*(1+G44),2)</f>
        <v>0</v>
      </c>
      <c r="I44" s="329">
        <f>SUM(H43:H44)</f>
        <v>0</v>
      </c>
    </row>
    <row r="45" spans="5:9">
      <c r="E45" s="264"/>
      <c r="I45" s="325">
        <f>I44/$G$68</f>
        <v>0</v>
      </c>
    </row>
    <row r="48" ht="15.6" customHeight="1" spans="1:9">
      <c r="A48" s="126" t="s">
        <v>51</v>
      </c>
      <c r="B48" s="120"/>
      <c r="C48" s="120"/>
      <c r="D48" s="120"/>
      <c r="F48" s="120"/>
      <c r="G48" s="248"/>
      <c r="H48" s="248"/>
      <c r="I48" s="327"/>
    </row>
    <row r="49" ht="34.35" customHeight="1" spans="1:9">
      <c r="A49" s="265" t="s">
        <v>52</v>
      </c>
      <c r="B49" s="221" t="s">
        <v>53</v>
      </c>
      <c r="C49" s="222"/>
      <c r="D49" s="249"/>
      <c r="E49" s="250" t="s">
        <v>54</v>
      </c>
      <c r="F49" s="250" t="s">
        <v>55</v>
      </c>
      <c r="G49" s="194" t="s">
        <v>17</v>
      </c>
      <c r="H49" s="266" t="s">
        <v>18</v>
      </c>
      <c r="I49" s="180"/>
    </row>
    <row r="50" s="180" customFormat="1" ht="16.5" customHeight="1" spans="1:8">
      <c r="A50" s="267" t="s">
        <v>56</v>
      </c>
      <c r="B50" s="268"/>
      <c r="C50" s="269"/>
      <c r="D50" s="270"/>
      <c r="E50" s="271"/>
      <c r="F50" s="272"/>
      <c r="G50" s="273"/>
      <c r="H50" s="274"/>
    </row>
    <row r="51" ht="16.8" customHeight="1" spans="1:9">
      <c r="A51" s="275" t="s">
        <v>57</v>
      </c>
      <c r="B51" s="111"/>
      <c r="C51" s="276"/>
      <c r="D51" s="271"/>
      <c r="E51" s="277"/>
      <c r="F51" s="278"/>
      <c r="G51" s="279"/>
      <c r="H51" s="280">
        <f>ROUND(G51*F51,2)</f>
        <v>0</v>
      </c>
      <c r="I51" s="180"/>
    </row>
    <row r="52" ht="15.6" customHeight="1" spans="1:9">
      <c r="A52" s="281" t="s">
        <v>58</v>
      </c>
      <c r="B52" s="282">
        <v>21.625</v>
      </c>
      <c r="C52" s="283">
        <v>23.75</v>
      </c>
      <c r="D52" s="283">
        <v>13.625</v>
      </c>
      <c r="E52" s="284"/>
      <c r="F52" s="285">
        <v>0.5</v>
      </c>
      <c r="G52" s="286">
        <v>11.5748890625</v>
      </c>
      <c r="H52" s="287">
        <f>ROUND(F52*G52,2)</f>
        <v>5.79</v>
      </c>
      <c r="I52" s="329">
        <f>SUM(H50:H52)</f>
        <v>5.79</v>
      </c>
    </row>
    <row r="53" spans="1:9">
      <c r="A53" s="3"/>
      <c r="B53" s="3"/>
      <c r="C53" s="3"/>
      <c r="D53" s="3"/>
      <c r="E53" s="288"/>
      <c r="F53" s="90"/>
      <c r="G53" s="3"/>
      <c r="H53" s="3"/>
      <c r="I53" s="325">
        <f>I52/$G$68</f>
        <v>0.0342253645651988</v>
      </c>
    </row>
    <row r="54" spans="1:9">
      <c r="A54" s="3"/>
      <c r="B54" s="3"/>
      <c r="C54" s="3"/>
      <c r="D54" s="3"/>
      <c r="E54" s="3"/>
      <c r="F54" s="3"/>
      <c r="G54" s="3"/>
      <c r="H54" s="3"/>
      <c r="I54" s="325"/>
    </row>
    <row r="55" ht="16.8" customHeight="1" spans="1:10">
      <c r="A55" s="180"/>
      <c r="B55" s="180"/>
      <c r="C55" s="180"/>
      <c r="D55" s="3"/>
      <c r="E55" s="3"/>
      <c r="F55" s="3"/>
      <c r="G55" s="3"/>
      <c r="H55" s="3"/>
      <c r="I55" s="180"/>
      <c r="J55" s="180"/>
    </row>
    <row r="56" ht="16.8" customHeight="1" spans="1:10">
      <c r="A56" s="289" t="s">
        <v>59</v>
      </c>
      <c r="B56" s="290"/>
      <c r="C56" s="290"/>
      <c r="D56" s="290"/>
      <c r="E56" s="290"/>
      <c r="F56" s="290"/>
      <c r="G56" s="291"/>
      <c r="H56" s="291"/>
      <c r="I56" s="290"/>
      <c r="J56" s="330"/>
    </row>
    <row r="57" ht="17.55" customHeight="1" spans="1:9">
      <c r="A57" s="292" t="s">
        <v>60</v>
      </c>
      <c r="B57" s="293"/>
      <c r="C57" s="292" t="s">
        <v>61</v>
      </c>
      <c r="D57" s="292" t="s">
        <v>62</v>
      </c>
      <c r="E57" s="294"/>
      <c r="F57" s="295" t="s">
        <v>63</v>
      </c>
      <c r="G57" s="265" t="s">
        <v>64</v>
      </c>
      <c r="H57" s="296" t="s">
        <v>65</v>
      </c>
      <c r="I57" s="290"/>
    </row>
    <row r="58" ht="17.55" customHeight="1" spans="1:9">
      <c r="A58" s="297" t="s">
        <v>66</v>
      </c>
      <c r="B58" s="298"/>
      <c r="C58" s="299">
        <f>B52*C52*D52/1728*F52</f>
        <v>2.02480174877025</v>
      </c>
      <c r="D58" s="300" t="s">
        <v>67</v>
      </c>
      <c r="E58" s="301"/>
      <c r="F58" s="302">
        <v>0.5</v>
      </c>
      <c r="G58" s="302">
        <v>4.3</v>
      </c>
      <c r="H58" s="302">
        <v>15.85</v>
      </c>
      <c r="I58" s="331" t="s">
        <v>64</v>
      </c>
    </row>
    <row r="59" ht="16.8" customHeight="1" spans="1:9">
      <c r="A59" s="303"/>
      <c r="B59" s="304"/>
      <c r="C59" s="305"/>
      <c r="D59" s="306" t="s">
        <v>68</v>
      </c>
      <c r="E59" s="307"/>
      <c r="F59" s="308">
        <f>F58*$C$58</f>
        <v>1.01240087438513</v>
      </c>
      <c r="G59" s="308">
        <f>G58*$C$58</f>
        <v>8.7066475197121</v>
      </c>
      <c r="H59" s="308">
        <f>H58*$C$58</f>
        <v>32.0931077180085</v>
      </c>
      <c r="I59" s="332">
        <f>G59</f>
        <v>8.7066475197121</v>
      </c>
    </row>
    <row r="60" ht="16.8" customHeight="1" spans="1:10">
      <c r="A60" s="180"/>
      <c r="B60" s="180"/>
      <c r="C60" s="180"/>
      <c r="D60" s="180"/>
      <c r="E60" s="180"/>
      <c r="F60" s="180"/>
      <c r="G60" s="180"/>
      <c r="H60" s="180"/>
      <c r="I60" s="180"/>
      <c r="J60" s="180"/>
    </row>
    <row r="61" ht="16.8" customHeight="1" spans="1:10">
      <c r="A61" s="180"/>
      <c r="B61" s="180"/>
      <c r="C61" s="180"/>
      <c r="D61" s="180"/>
      <c r="E61" s="180"/>
      <c r="F61" s="180"/>
      <c r="G61" s="180"/>
      <c r="H61" s="180"/>
      <c r="I61" s="180"/>
      <c r="J61" s="180"/>
    </row>
    <row r="62" ht="16.8" customHeight="1" spans="1:10">
      <c r="A62" s="309" t="s">
        <v>69</v>
      </c>
      <c r="B62" s="180"/>
      <c r="C62" s="180"/>
      <c r="D62" s="180"/>
      <c r="E62" s="180"/>
      <c r="F62" s="180"/>
      <c r="G62" s="180"/>
      <c r="H62" s="180"/>
      <c r="I62" s="180"/>
      <c r="J62" s="180"/>
    </row>
    <row r="63" ht="16.8" customHeight="1" spans="1:10">
      <c r="A63" s="310" t="s">
        <v>70</v>
      </c>
      <c r="B63" s="311" t="s">
        <v>71</v>
      </c>
      <c r="C63" s="312"/>
      <c r="D63" s="312"/>
      <c r="E63" s="312"/>
      <c r="F63" s="312"/>
      <c r="G63" s="313" t="s">
        <v>72</v>
      </c>
      <c r="H63" s="314"/>
      <c r="I63" s="3"/>
      <c r="J63" s="333"/>
    </row>
    <row r="64" ht="16.8" customHeight="1" spans="1:10">
      <c r="A64" s="315"/>
      <c r="B64" s="316"/>
      <c r="C64" s="317"/>
      <c r="D64" s="317"/>
      <c r="E64" s="317"/>
      <c r="F64" s="317"/>
      <c r="G64" s="318"/>
      <c r="H64" s="319"/>
      <c r="I64" s="3"/>
      <c r="J64" s="333"/>
    </row>
    <row r="65" ht="16.8" customHeight="1" spans="1:10">
      <c r="A65" s="180"/>
      <c r="B65" s="180"/>
      <c r="C65" s="180"/>
      <c r="D65" s="180"/>
      <c r="E65" s="180"/>
      <c r="F65" s="180"/>
      <c r="G65" s="180"/>
      <c r="H65" s="180"/>
      <c r="I65" s="180"/>
      <c r="J65" s="180"/>
    </row>
    <row r="66" ht="17.55" customHeight="1" spans="1:10">
      <c r="A66" s="180"/>
      <c r="B66" s="180"/>
      <c r="C66" s="180"/>
      <c r="D66" s="180"/>
      <c r="E66" s="180"/>
      <c r="F66" s="180"/>
      <c r="G66" s="180"/>
      <c r="H66" s="180"/>
      <c r="I66" s="180"/>
      <c r="J66" s="180"/>
    </row>
    <row r="67" ht="26.25" customHeight="1" spans="1:10">
      <c r="A67" s="334" t="s">
        <v>73</v>
      </c>
      <c r="B67" s="335" t="s">
        <v>74</v>
      </c>
      <c r="C67" s="335" t="s">
        <v>75</v>
      </c>
      <c r="D67" s="336"/>
      <c r="E67" s="337" t="s">
        <v>15</v>
      </c>
      <c r="F67" s="338" t="s">
        <v>63</v>
      </c>
      <c r="G67" s="335" t="s">
        <v>64</v>
      </c>
      <c r="H67" s="339" t="s">
        <v>65</v>
      </c>
      <c r="I67" s="3"/>
      <c r="J67" s="180"/>
    </row>
    <row r="68" ht="26.25" customHeight="1" spans="1:13">
      <c r="A68" s="340"/>
      <c r="B68" s="341" t="str">
        <f>A58</f>
        <v>Semarang ID/ HK</v>
      </c>
      <c r="C68" s="342" t="s">
        <v>76</v>
      </c>
      <c r="D68" s="343"/>
      <c r="E68" s="344" t="s">
        <v>77</v>
      </c>
      <c r="F68" s="345">
        <f>$I$17+$I$36+$I$44+$I$52+F59</f>
        <v>161.478531309168</v>
      </c>
      <c r="G68" s="345">
        <f>$I$17+$I$36+$I$44+$I$52+G59</f>
        <v>169.172777954495</v>
      </c>
      <c r="H68" s="345">
        <f>$I$17+$I$36+$I$44+$I$52+H59</f>
        <v>192.559238152791</v>
      </c>
      <c r="I68" s="3"/>
      <c r="L68" s="180"/>
      <c r="M68" s="180"/>
    </row>
    <row r="69" ht="26.25" customHeight="1" spans="1:9">
      <c r="A69" s="340"/>
      <c r="B69" s="346"/>
      <c r="C69" s="347"/>
      <c r="D69" s="348"/>
      <c r="E69" s="349"/>
      <c r="F69" s="350">
        <f>ROUND(F68/7.76,3)</f>
        <v>20.809</v>
      </c>
      <c r="G69" s="350">
        <f>ROUND(G68/7.76,3)</f>
        <v>21.801</v>
      </c>
      <c r="H69" s="351">
        <f>ROUND(H68/7.76,3)</f>
        <v>24.814</v>
      </c>
      <c r="I69" s="3"/>
    </row>
    <row r="70" ht="26.25" customHeight="1" spans="1:10">
      <c r="A70" s="340"/>
      <c r="B70" s="346"/>
      <c r="C70" s="352"/>
      <c r="D70" s="353"/>
      <c r="E70" s="344" t="s">
        <v>78</v>
      </c>
      <c r="F70" s="354">
        <v>160.671138652622</v>
      </c>
      <c r="G70" s="354">
        <v>168.326914064723</v>
      </c>
      <c r="H70" s="345">
        <v>191.596441962027</v>
      </c>
      <c r="I70" s="3"/>
      <c r="J70" s="180"/>
    </row>
    <row r="71" ht="26.25" customHeight="1" spans="1:10">
      <c r="A71" s="340"/>
      <c r="B71" s="346"/>
      <c r="C71" s="347"/>
      <c r="D71" s="348"/>
      <c r="E71" s="349"/>
      <c r="F71" s="350">
        <f t="shared" ref="F71:H71" si="2">ROUND(F70/7.76,3)</f>
        <v>20.705</v>
      </c>
      <c r="G71" s="350">
        <f t="shared" si="2"/>
        <v>21.692</v>
      </c>
      <c r="H71" s="351">
        <f t="shared" si="2"/>
        <v>24.69</v>
      </c>
      <c r="I71" s="3"/>
      <c r="J71" s="180"/>
    </row>
    <row r="72" ht="26.25" customHeight="1" spans="1:10">
      <c r="A72" s="340"/>
      <c r="B72" s="346"/>
      <c r="C72" s="352"/>
      <c r="D72" s="353"/>
      <c r="E72" s="344" t="s">
        <v>79</v>
      </c>
      <c r="F72" s="354">
        <v>159.863745996076</v>
      </c>
      <c r="G72" s="354">
        <v>167.48105017495</v>
      </c>
      <c r="H72" s="345">
        <v>190.633645771263</v>
      </c>
      <c r="I72" s="3"/>
      <c r="J72" s="180"/>
    </row>
    <row r="73" ht="26.25" customHeight="1" spans="1:10">
      <c r="A73" s="340"/>
      <c r="B73" s="346"/>
      <c r="C73" s="347"/>
      <c r="D73" s="348"/>
      <c r="E73" s="349"/>
      <c r="F73" s="350">
        <f t="shared" ref="F73:H73" si="3">ROUND(F72/7.76,3)</f>
        <v>20.601</v>
      </c>
      <c r="G73" s="350">
        <f t="shared" si="3"/>
        <v>21.583</v>
      </c>
      <c r="H73" s="351">
        <f t="shared" si="3"/>
        <v>24.566</v>
      </c>
      <c r="I73" s="3"/>
      <c r="J73" s="180"/>
    </row>
    <row r="74" ht="26.25" customHeight="1" spans="1:10">
      <c r="A74" s="340"/>
      <c r="B74" s="346"/>
      <c r="C74" s="352"/>
      <c r="D74" s="353"/>
      <c r="E74" s="344" t="s">
        <v>80</v>
      </c>
      <c r="F74" s="354">
        <v>159.05635333953</v>
      </c>
      <c r="G74" s="354">
        <v>166.635186285178</v>
      </c>
      <c r="H74" s="345">
        <v>189.670849580499</v>
      </c>
      <c r="I74" s="3"/>
      <c r="J74" s="180"/>
    </row>
    <row r="75" ht="26.25" customHeight="1" spans="1:10">
      <c r="A75" s="355"/>
      <c r="B75" s="356"/>
      <c r="C75" s="357"/>
      <c r="D75" s="358"/>
      <c r="E75" s="349"/>
      <c r="F75" s="350">
        <f t="shared" ref="F75:H75" si="4">ROUND(F74/7.76,3)</f>
        <v>20.497</v>
      </c>
      <c r="G75" s="350">
        <f t="shared" si="4"/>
        <v>21.474</v>
      </c>
      <c r="H75" s="351">
        <f t="shared" si="4"/>
        <v>24.442</v>
      </c>
      <c r="I75" s="3"/>
      <c r="J75" s="180"/>
    </row>
    <row r="76" ht="16.8" customHeight="1" spans="1:10">
      <c r="A76" s="359"/>
      <c r="B76" s="359"/>
      <c r="C76" s="359"/>
      <c r="D76" s="359"/>
      <c r="E76" s="359"/>
      <c r="F76" s="359"/>
      <c r="G76" s="359"/>
      <c r="H76" s="359"/>
      <c r="I76" s="359"/>
      <c r="J76" s="359"/>
    </row>
    <row r="77" ht="16.8" customHeight="1" spans="1:10">
      <c r="A77" s="359"/>
      <c r="B77" s="359"/>
      <c r="C77" s="359"/>
      <c r="D77" s="359"/>
      <c r="E77" s="359"/>
      <c r="F77" s="359"/>
      <c r="G77" s="359"/>
      <c r="H77" s="359"/>
      <c r="I77" s="359"/>
      <c r="J77" s="359"/>
    </row>
    <row r="78" ht="16.8" customHeight="1" spans="1:10">
      <c r="A78" s="333"/>
      <c r="B78" s="333"/>
      <c r="C78" s="333"/>
      <c r="D78" s="333"/>
      <c r="E78" s="333"/>
      <c r="F78" s="333"/>
      <c r="G78" s="333"/>
      <c r="H78" s="333"/>
      <c r="I78" s="333"/>
      <c r="J78" s="359"/>
    </row>
    <row r="79" ht="16.8" customHeight="1" spans="1:10">
      <c r="A79" s="360" t="s">
        <v>81</v>
      </c>
      <c r="B79" s="361"/>
      <c r="C79" s="361"/>
      <c r="D79" s="361"/>
      <c r="E79" s="361"/>
      <c r="F79" s="361"/>
      <c r="G79" s="361"/>
      <c r="H79" s="361"/>
      <c r="I79" s="361"/>
      <c r="J79" s="382"/>
    </row>
    <row r="80" ht="27.75" customHeight="1" spans="1:10">
      <c r="A80" s="362" t="s">
        <v>74</v>
      </c>
      <c r="B80" s="363" t="s">
        <v>82</v>
      </c>
      <c r="C80" s="364"/>
      <c r="D80" s="363" t="s">
        <v>83</v>
      </c>
      <c r="E80" s="364"/>
      <c r="F80" s="365" t="s">
        <v>84</v>
      </c>
      <c r="G80" s="366"/>
      <c r="H80" s="367" t="s">
        <v>85</v>
      </c>
      <c r="I80" s="383"/>
      <c r="J80" s="384" t="s">
        <v>86</v>
      </c>
    </row>
    <row r="81" ht="36.75" customHeight="1" spans="1:10">
      <c r="A81" s="368" t="str">
        <f>B68</f>
        <v>Semarang ID/ HK</v>
      </c>
      <c r="B81" s="369"/>
      <c r="C81" s="370"/>
      <c r="D81" s="369"/>
      <c r="E81" s="370"/>
      <c r="F81" s="369"/>
      <c r="G81" s="370"/>
      <c r="H81" s="371"/>
      <c r="I81" s="385"/>
      <c r="J81" s="386"/>
    </row>
    <row r="82" ht="47.25" customHeight="1" spans="1:10">
      <c r="A82" s="372" t="s">
        <v>63</v>
      </c>
      <c r="B82" s="373"/>
      <c r="C82" s="374"/>
      <c r="D82" s="373"/>
      <c r="E82" s="374"/>
      <c r="F82" s="373"/>
      <c r="G82" s="374"/>
      <c r="H82" s="375"/>
      <c r="I82" s="301"/>
      <c r="J82" s="387"/>
    </row>
    <row r="83" ht="47.25" customHeight="1" spans="1:10">
      <c r="A83" s="376" t="s">
        <v>64</v>
      </c>
      <c r="B83" s="373"/>
      <c r="C83" s="374"/>
      <c r="D83" s="373"/>
      <c r="E83" s="374"/>
      <c r="F83" s="373"/>
      <c r="G83" s="374"/>
      <c r="H83" s="377"/>
      <c r="I83" s="388"/>
      <c r="J83" s="389" t="s">
        <v>87</v>
      </c>
    </row>
    <row r="84" ht="47.25" customHeight="1" spans="1:10">
      <c r="A84" s="378" t="s">
        <v>65</v>
      </c>
      <c r="B84" s="373"/>
      <c r="C84" s="374"/>
      <c r="D84" s="373"/>
      <c r="E84" s="374"/>
      <c r="F84" s="373"/>
      <c r="G84" s="374"/>
      <c r="H84" s="379" t="s">
        <v>88</v>
      </c>
      <c r="I84" s="390"/>
      <c r="J84" s="387"/>
    </row>
    <row r="85" ht="16.8" customHeight="1" spans="1:10">
      <c r="A85" s="380" t="s">
        <v>89</v>
      </c>
      <c r="B85" s="333"/>
      <c r="C85" s="180"/>
      <c r="D85" s="180"/>
      <c r="E85" s="180"/>
      <c r="F85" s="180"/>
      <c r="G85" s="180"/>
      <c r="H85" s="180"/>
      <c r="I85" s="333"/>
      <c r="J85" s="359"/>
    </row>
    <row r="86" ht="16.8" customHeight="1" spans="1:10">
      <c r="A86" s="380"/>
      <c r="B86" s="333"/>
      <c r="C86" s="180"/>
      <c r="D86" s="180"/>
      <c r="E86" s="180"/>
      <c r="F86" s="180"/>
      <c r="G86" s="180"/>
      <c r="H86" s="180"/>
      <c r="I86" s="333"/>
      <c r="J86" s="359"/>
    </row>
    <row r="87" ht="16.8" customHeight="1" spans="1:10">
      <c r="A87" s="381" t="s">
        <v>90</v>
      </c>
      <c r="B87" s="333"/>
      <c r="C87" s="180"/>
      <c r="D87" s="180"/>
      <c r="E87" s="180"/>
      <c r="F87" s="180"/>
      <c r="G87" s="180"/>
      <c r="H87" s="180"/>
      <c r="I87" s="180"/>
      <c r="J87" s="359"/>
    </row>
    <row r="88" ht="16.8" customHeight="1" spans="1:10">
      <c r="A88" s="180"/>
      <c r="B88" s="333"/>
      <c r="C88" s="333"/>
      <c r="D88" s="333"/>
      <c r="E88" s="333"/>
      <c r="F88" s="333"/>
      <c r="G88" s="333"/>
      <c r="H88" s="333"/>
      <c r="I88" s="333"/>
      <c r="J88" s="359"/>
    </row>
    <row r="89" ht="16.8" customHeight="1" spans="1:10">
      <c r="A89" s="333"/>
      <c r="B89" s="333"/>
      <c r="C89" s="333"/>
      <c r="D89" s="333"/>
      <c r="E89" s="333"/>
      <c r="F89" s="333"/>
      <c r="G89" s="333"/>
      <c r="H89" s="333"/>
      <c r="I89" s="333"/>
      <c r="J89" s="359"/>
    </row>
    <row r="90" ht="16.8" customHeight="1" spans="1:10">
      <c r="A90" s="333"/>
      <c r="B90" s="333"/>
      <c r="C90" s="333"/>
      <c r="D90" s="333"/>
      <c r="E90" s="333"/>
      <c r="F90" s="333"/>
      <c r="G90" s="333"/>
      <c r="H90" s="333"/>
      <c r="I90" s="333"/>
      <c r="J90" s="359"/>
    </row>
  </sheetData>
  <mergeCells count="68">
    <mergeCell ref="H2:I2"/>
    <mergeCell ref="C3:D3"/>
    <mergeCell ref="H3:I3"/>
    <mergeCell ref="C4:D4"/>
    <mergeCell ref="H4:I4"/>
    <mergeCell ref="H5:I5"/>
    <mergeCell ref="A7:I7"/>
    <mergeCell ref="B10:D10"/>
    <mergeCell ref="B11:D11"/>
    <mergeCell ref="B12:D12"/>
    <mergeCell ref="B13:D13"/>
    <mergeCell ref="B14:D14"/>
    <mergeCell ref="B15:D15"/>
    <mergeCell ref="B16:D16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42:C42"/>
    <mergeCell ref="B43:C43"/>
    <mergeCell ref="B44:C44"/>
    <mergeCell ref="B49:D49"/>
    <mergeCell ref="A57:B57"/>
    <mergeCell ref="D57:E57"/>
    <mergeCell ref="B63:F63"/>
    <mergeCell ref="G63:H63"/>
    <mergeCell ref="B64:F64"/>
    <mergeCell ref="G64:H64"/>
    <mergeCell ref="C67:D67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H84:I84"/>
    <mergeCell ref="A67:A75"/>
    <mergeCell ref="B68:B75"/>
    <mergeCell ref="E68:E69"/>
    <mergeCell ref="E70:E71"/>
    <mergeCell ref="E72:E73"/>
    <mergeCell ref="E74:E75"/>
    <mergeCell ref="J80:J81"/>
    <mergeCell ref="A58:B59"/>
    <mergeCell ref="C68:D69"/>
    <mergeCell ref="C70:D71"/>
    <mergeCell ref="C72:D73"/>
    <mergeCell ref="C74:D75"/>
    <mergeCell ref="H80:I81"/>
  </mergeCells>
  <dataValidations count="1">
    <dataValidation type="list" allowBlank="1" showInputMessage="1" showErrorMessage="1" sqref="A58:B59">
      <formula1>"Semarang ID/ HK"</formula1>
    </dataValidation>
  </dataValidations>
  <pageMargins left="0.39" right="0.15748031496063" top="0.46" bottom="0.75" header="0.32" footer="0.2"/>
  <pageSetup paperSize="9" scale="67" fitToHeight="0" orientation="portrait" useFirstPageNumber="1"/>
  <headerFooter>
    <oddFooter>&amp;L&amp;"Arial,Bold"&amp;9Tomy Confidential&amp;C&amp;"Arial,Bold"&amp;9&amp;F; &amp;A&amp;R&amp;"Arial,Bold"&amp;9Page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86"/>
  <sheetViews>
    <sheetView zoomScale="55" zoomScaleNormal="55" topLeftCell="A30" workbookViewId="0">
      <selection activeCell="L63" sqref="L63"/>
    </sheetView>
  </sheetViews>
  <sheetFormatPr defaultColWidth="9" defaultRowHeight="15" outlineLevelCol="7"/>
  <cols>
    <col min="1" max="1" width="17.2777777777778" style="3" customWidth="1"/>
    <col min="2" max="2" width="37.25" style="3" customWidth="1"/>
    <col min="3" max="3" width="9.87962962962963" style="3" customWidth="1"/>
    <col min="4" max="5" width="14.5" style="3" customWidth="1"/>
    <col min="6" max="6" width="15.25" style="3" customWidth="1"/>
    <col min="7" max="7" width="15.8796296296296" style="3" customWidth="1"/>
    <col min="8" max="8" width="15.4074074074074" style="3" customWidth="1"/>
    <col min="9" max="9" width="12.7962962962963" style="3" customWidth="1"/>
    <col min="10" max="16384" width="9" style="3" customWidth="1"/>
  </cols>
  <sheetData>
    <row r="1" s="3" customFormat="1" spans="2:8">
      <c r="B1" s="6"/>
      <c r="C1" s="6"/>
      <c r="D1" s="6"/>
      <c r="E1" s="6"/>
      <c r="F1" s="6"/>
      <c r="G1" s="6"/>
      <c r="H1" s="6"/>
    </row>
    <row r="2" s="3" customFormat="1" spans="1:8">
      <c r="A2" s="6"/>
      <c r="B2" s="6"/>
      <c r="C2" s="6"/>
      <c r="D2" s="6"/>
      <c r="E2" s="6"/>
      <c r="F2" s="6"/>
      <c r="G2" s="6"/>
      <c r="H2" s="6"/>
    </row>
    <row r="3" s="3" customFormat="1" ht="17.4" customHeight="1" spans="1:8">
      <c r="A3" s="6"/>
      <c r="B3" s="7" t="s">
        <v>91</v>
      </c>
      <c r="C3" s="6"/>
      <c r="D3" s="6"/>
      <c r="E3" s="6"/>
      <c r="F3" s="6"/>
      <c r="G3" s="6"/>
      <c r="H3" s="6"/>
    </row>
    <row r="4" s="3" customFormat="1" ht="15.6" customHeight="1" spans="1:8">
      <c r="A4" s="6"/>
      <c r="B4" s="8"/>
      <c r="C4" s="6"/>
      <c r="D4" s="6"/>
      <c r="E4" s="6"/>
      <c r="F4" s="6"/>
      <c r="G4" s="6"/>
      <c r="H4" s="6"/>
    </row>
    <row r="5" s="3" customFormat="1" ht="15.75" customHeight="1" spans="1:8">
      <c r="A5" s="6"/>
      <c r="B5" s="6"/>
      <c r="C5" s="6"/>
      <c r="D5" s="6"/>
      <c r="E5" s="6"/>
      <c r="F5" s="6"/>
      <c r="G5" s="6"/>
      <c r="H5" s="6"/>
    </row>
    <row r="6" s="4" customFormat="1" ht="26.4" customHeight="1" spans="1:8">
      <c r="A6" s="9" t="s">
        <v>92</v>
      </c>
      <c r="B6" s="10" t="s">
        <v>93</v>
      </c>
      <c r="C6" s="11" t="s">
        <v>94</v>
      </c>
      <c r="D6" s="10" t="s">
        <v>95</v>
      </c>
      <c r="E6" s="10"/>
      <c r="F6" s="10" t="s">
        <v>96</v>
      </c>
      <c r="G6" s="10"/>
      <c r="H6" s="12" t="s">
        <v>97</v>
      </c>
    </row>
    <row r="7" s="3" customFormat="1" ht="36.75" customHeight="1" spans="1:8">
      <c r="A7" s="13"/>
      <c r="B7" s="14" t="s">
        <v>7</v>
      </c>
      <c r="C7" s="15">
        <v>0</v>
      </c>
      <c r="D7" s="14" t="s">
        <v>98</v>
      </c>
      <c r="E7" s="14"/>
      <c r="F7" s="16" t="s">
        <v>99</v>
      </c>
      <c r="G7" s="16"/>
      <c r="H7" s="17">
        <v>45937</v>
      </c>
    </row>
    <row r="8" s="3" customFormat="1" spans="1:8">
      <c r="A8" s="18"/>
      <c r="B8" s="19"/>
      <c r="C8" s="20"/>
      <c r="D8" s="19"/>
      <c r="E8" s="19"/>
      <c r="F8" s="18"/>
      <c r="G8" s="18"/>
      <c r="H8" s="21"/>
    </row>
    <row r="9" s="3" customFormat="1" ht="15.75" customHeight="1" spans="1:8">
      <c r="A9" s="22"/>
      <c r="B9" s="23"/>
      <c r="C9" s="23"/>
      <c r="D9" s="23"/>
      <c r="E9" s="22"/>
      <c r="F9" s="24"/>
      <c r="G9" s="24"/>
      <c r="H9" s="25"/>
    </row>
    <row r="10" s="3" customFormat="1" spans="1:7">
      <c r="A10" s="26"/>
      <c r="B10" s="27"/>
      <c r="C10" s="27"/>
      <c r="D10" s="27"/>
      <c r="E10" s="26"/>
      <c r="F10" s="28"/>
      <c r="G10" s="28"/>
    </row>
    <row r="11" s="3" customFormat="1" spans="1:7">
      <c r="A11" s="26"/>
      <c r="B11" s="27"/>
      <c r="C11" s="27"/>
      <c r="D11" s="27"/>
      <c r="E11" s="26"/>
      <c r="F11" s="28"/>
      <c r="G11" s="28"/>
    </row>
    <row r="12" s="3" customFormat="1" ht="15.75" customHeight="1" spans="1:7">
      <c r="A12" s="29" t="s">
        <v>100</v>
      </c>
      <c r="B12" s="30"/>
      <c r="C12" s="31"/>
      <c r="D12" s="31"/>
      <c r="E12" s="32"/>
      <c r="F12" s="32"/>
      <c r="G12" s="28"/>
    </row>
    <row r="13" s="3" customFormat="1" ht="15.75" customHeight="1" spans="1:7">
      <c r="A13" s="33"/>
      <c r="B13" s="34" t="s">
        <v>101</v>
      </c>
      <c r="C13" s="35"/>
      <c r="D13" s="36" t="s">
        <v>102</v>
      </c>
      <c r="E13" s="36" t="s">
        <v>103</v>
      </c>
      <c r="F13" s="36" t="s">
        <v>18</v>
      </c>
      <c r="G13" s="37" t="s">
        <v>104</v>
      </c>
    </row>
    <row r="14" s="3" customFormat="1" ht="19.5" customHeight="1" spans="1:7">
      <c r="A14" s="38" t="s">
        <v>105</v>
      </c>
      <c r="B14" s="39" t="s">
        <v>106</v>
      </c>
      <c r="C14" s="40"/>
      <c r="D14" s="41">
        <f>$G$59</f>
        <v>39.518</v>
      </c>
      <c r="E14" s="42">
        <v>0.18</v>
      </c>
      <c r="F14" s="41">
        <f t="shared" ref="F14:F17" si="0">ROUND(D14*(1+E14),2)</f>
        <v>46.63</v>
      </c>
      <c r="G14" s="43">
        <f t="shared" ref="G14:G17" si="1">ROUND(F14/$F$23,3)</f>
        <v>0.383</v>
      </c>
    </row>
    <row r="15" s="3" customFormat="1" ht="19.5" customHeight="1" spans="1:7">
      <c r="A15" s="44" t="s">
        <v>107</v>
      </c>
      <c r="B15" s="45" t="s">
        <v>108</v>
      </c>
      <c r="C15" s="46"/>
      <c r="D15" s="47">
        <f>$G$98</f>
        <v>20.491043931069</v>
      </c>
      <c r="E15" s="48">
        <v>0.18</v>
      </c>
      <c r="F15" s="47">
        <f t="shared" si="0"/>
        <v>24.18</v>
      </c>
      <c r="G15" s="49">
        <f t="shared" si="1"/>
        <v>0.199</v>
      </c>
    </row>
    <row r="16" s="3" customFormat="1" ht="19.5" customHeight="1" spans="1:7">
      <c r="A16" s="44" t="s">
        <v>109</v>
      </c>
      <c r="B16" s="45" t="s">
        <v>110</v>
      </c>
      <c r="C16" s="46"/>
      <c r="D16" s="47">
        <f>$G$141</f>
        <v>10.6277100804598</v>
      </c>
      <c r="E16" s="48">
        <v>0.18</v>
      </c>
      <c r="F16" s="47">
        <f t="shared" si="0"/>
        <v>12.54</v>
      </c>
      <c r="G16" s="49">
        <f t="shared" si="1"/>
        <v>0.103</v>
      </c>
    </row>
    <row r="17" s="3" customFormat="1" ht="19.5" customHeight="1" spans="1:7">
      <c r="A17" s="44" t="s">
        <v>111</v>
      </c>
      <c r="B17" s="45" t="s">
        <v>112</v>
      </c>
      <c r="C17" s="46"/>
      <c r="D17" s="47">
        <f>$G$149</f>
        <v>0</v>
      </c>
      <c r="E17" s="48">
        <v>0</v>
      </c>
      <c r="F17" s="47">
        <f t="shared" si="0"/>
        <v>0</v>
      </c>
      <c r="G17" s="49">
        <f t="shared" si="1"/>
        <v>0</v>
      </c>
    </row>
    <row r="18" s="3" customFormat="1" ht="19.5" customHeight="1" spans="1:7">
      <c r="A18" s="44" t="s">
        <v>113</v>
      </c>
      <c r="B18" s="45" t="s">
        <v>114</v>
      </c>
      <c r="C18" s="46"/>
      <c r="D18" s="47"/>
      <c r="E18" s="48"/>
      <c r="F18" s="47"/>
      <c r="G18" s="49"/>
    </row>
    <row r="19" s="3" customFormat="1" ht="19.5" customHeight="1" spans="1:7">
      <c r="A19" s="44"/>
      <c r="B19" s="50" t="s">
        <v>115</v>
      </c>
      <c r="C19" s="46"/>
      <c r="D19" s="47">
        <f>$G$159</f>
        <v>11.52</v>
      </c>
      <c r="E19" s="48">
        <v>0.18</v>
      </c>
      <c r="F19" s="47">
        <f t="shared" ref="F19:F22" si="2">ROUND(D19*(1+E19),2)</f>
        <v>13.59</v>
      </c>
      <c r="G19" s="49">
        <f t="shared" ref="G19:G22" si="3">ROUND(F19/$F$23,3)</f>
        <v>0.112</v>
      </c>
    </row>
    <row r="20" s="3" customFormat="1" ht="19.5" customHeight="1" spans="1:7">
      <c r="A20" s="44"/>
      <c r="B20" s="50" t="s">
        <v>116</v>
      </c>
      <c r="C20" s="46"/>
      <c r="D20" s="47">
        <f>$G$163</f>
        <v>0</v>
      </c>
      <c r="E20" s="48">
        <v>0.18</v>
      </c>
      <c r="F20" s="47">
        <f t="shared" si="2"/>
        <v>0</v>
      </c>
      <c r="G20" s="49">
        <f t="shared" si="3"/>
        <v>0</v>
      </c>
    </row>
    <row r="21" s="3" customFormat="1" ht="19.5" customHeight="1" spans="1:7">
      <c r="A21" s="44"/>
      <c r="B21" s="50" t="s">
        <v>117</v>
      </c>
      <c r="C21" s="46"/>
      <c r="D21" s="47">
        <f>$G$167</f>
        <v>0</v>
      </c>
      <c r="E21" s="48">
        <v>0.18</v>
      </c>
      <c r="F21" s="47">
        <f t="shared" si="2"/>
        <v>0</v>
      </c>
      <c r="G21" s="49">
        <f t="shared" si="3"/>
        <v>0</v>
      </c>
    </row>
    <row r="22" s="3" customFormat="1" ht="19.5" customHeight="1" spans="1:7">
      <c r="A22" s="51"/>
      <c r="B22" s="52" t="s">
        <v>118</v>
      </c>
      <c r="C22" s="53"/>
      <c r="D22" s="54">
        <f>$G$172</f>
        <v>20.922</v>
      </c>
      <c r="E22" s="55">
        <v>0.18</v>
      </c>
      <c r="F22" s="54">
        <f t="shared" si="2"/>
        <v>24.69</v>
      </c>
      <c r="G22" s="56">
        <f t="shared" si="3"/>
        <v>0.203</v>
      </c>
    </row>
    <row r="23" s="3" customFormat="1" ht="19.5" customHeight="1" spans="1:7">
      <c r="A23" s="57" t="s">
        <v>119</v>
      </c>
      <c r="B23" s="58"/>
      <c r="C23" s="57"/>
      <c r="D23" s="59"/>
      <c r="E23" s="59"/>
      <c r="F23" s="60">
        <f>SUM(F14:F22)</f>
        <v>121.63</v>
      </c>
      <c r="G23" s="61">
        <f>SUM(G14:G22)</f>
        <v>1</v>
      </c>
    </row>
    <row r="24" s="3" customFormat="1" spans="1:7">
      <c r="A24" s="26"/>
      <c r="B24" s="27"/>
      <c r="C24" s="27"/>
      <c r="D24" s="27"/>
      <c r="E24" s="26"/>
      <c r="F24" s="28"/>
      <c r="G24" s="28"/>
    </row>
    <row r="25" s="3" customFormat="1" spans="1:7">
      <c r="A25" s="26"/>
      <c r="B25" s="27"/>
      <c r="C25" s="27"/>
      <c r="D25" s="27"/>
      <c r="E25" s="26"/>
      <c r="F25" s="28"/>
      <c r="G25" s="28"/>
    </row>
    <row r="26" s="3" customFormat="1" spans="1:7">
      <c r="A26" s="26"/>
      <c r="B26" s="27"/>
      <c r="C26" s="27"/>
      <c r="D26" s="27"/>
      <c r="E26" s="26"/>
      <c r="F26" s="28"/>
      <c r="G26" s="28"/>
    </row>
    <row r="27" s="5" customFormat="1" ht="13.8" customHeight="1" spans="1:7">
      <c r="A27" s="62" t="s">
        <v>120</v>
      </c>
      <c r="B27" s="63"/>
      <c r="C27" s="64"/>
      <c r="D27" s="64"/>
      <c r="E27" s="65"/>
      <c r="F27" s="65"/>
      <c r="G27" s="66"/>
    </row>
    <row r="28" s="5" customFormat="1" ht="13.8" customHeight="1" spans="1:7">
      <c r="A28" s="67"/>
      <c r="B28" s="68" t="s">
        <v>121</v>
      </c>
      <c r="C28" s="68" t="s">
        <v>15</v>
      </c>
      <c r="D28" s="69" t="s">
        <v>122</v>
      </c>
      <c r="E28" s="70" t="s">
        <v>123</v>
      </c>
      <c r="F28" s="70" t="s">
        <v>124</v>
      </c>
      <c r="G28" s="70" t="s">
        <v>102</v>
      </c>
    </row>
    <row r="29" s="5" customFormat="1" ht="13.8" customHeight="1" spans="1:7">
      <c r="A29" s="71"/>
      <c r="B29" s="72"/>
      <c r="C29" s="73"/>
      <c r="D29" s="74"/>
      <c r="E29" s="75"/>
      <c r="F29" s="76"/>
      <c r="G29" s="77"/>
    </row>
    <row r="30" s="5" customFormat="1" ht="15.6" customHeight="1" spans="1:7">
      <c r="A30" s="78">
        <v>1</v>
      </c>
      <c r="B30" s="79" t="s">
        <v>125</v>
      </c>
      <c r="C30" s="80" t="s">
        <v>126</v>
      </c>
      <c r="D30" s="81" t="s">
        <v>127</v>
      </c>
      <c r="E30" s="82" t="s">
        <v>128</v>
      </c>
      <c r="F30" s="82" t="s">
        <v>129</v>
      </c>
      <c r="G30" s="83" t="s">
        <v>129</v>
      </c>
    </row>
    <row r="31" s="5" customFormat="1" ht="15.6" customHeight="1" spans="1:8">
      <c r="A31" s="84"/>
      <c r="B31" s="85" t="s">
        <v>130</v>
      </c>
      <c r="C31" s="85"/>
      <c r="D31" s="86">
        <v>1778</v>
      </c>
      <c r="E31" s="87">
        <v>16</v>
      </c>
      <c r="F31" s="88">
        <f t="shared" ref="F31:F34" si="4">ROUND(D31*E31/1000,3)</f>
        <v>28.448</v>
      </c>
      <c r="G31" s="89"/>
      <c r="H31" s="90"/>
    </row>
    <row r="32" s="5" customFormat="1" ht="15.6" customHeight="1" spans="1:7">
      <c r="A32" s="84"/>
      <c r="B32" s="85" t="s">
        <v>131</v>
      </c>
      <c r="C32" s="91"/>
      <c r="D32" s="86">
        <v>145</v>
      </c>
      <c r="E32" s="87">
        <v>14</v>
      </c>
      <c r="F32" s="88">
        <f t="shared" si="4"/>
        <v>2.03</v>
      </c>
      <c r="G32" s="89"/>
    </row>
    <row r="33" s="5" customFormat="1" ht="15.6" customHeight="1" spans="1:7">
      <c r="A33" s="84"/>
      <c r="B33" s="85" t="s">
        <v>132</v>
      </c>
      <c r="C33" s="91"/>
      <c r="D33" s="86">
        <v>70</v>
      </c>
      <c r="E33" s="87">
        <v>37</v>
      </c>
      <c r="F33" s="88">
        <f t="shared" si="4"/>
        <v>2.59</v>
      </c>
      <c r="G33" s="89"/>
    </row>
    <row r="34" s="5" customFormat="1" ht="15.6" customHeight="1" spans="1:7">
      <c r="A34" s="84"/>
      <c r="B34" s="85" t="s">
        <v>133</v>
      </c>
      <c r="C34" s="91"/>
      <c r="D34" s="86">
        <v>430</v>
      </c>
      <c r="E34" s="87">
        <v>15</v>
      </c>
      <c r="F34" s="88">
        <f t="shared" si="4"/>
        <v>6.45</v>
      </c>
      <c r="G34" s="89"/>
    </row>
    <row r="35" s="5" customFormat="1" ht="15.6" customHeight="1" spans="1:7">
      <c r="A35" s="84"/>
      <c r="B35" s="85"/>
      <c r="C35" s="91"/>
      <c r="D35" s="86"/>
      <c r="E35" s="87"/>
      <c r="F35" s="88"/>
      <c r="G35" s="89"/>
    </row>
    <row r="36" s="5" customFormat="1" ht="15.6" customHeight="1" spans="1:7">
      <c r="A36" s="84"/>
      <c r="B36" s="85"/>
      <c r="C36" s="91"/>
      <c r="D36" s="92"/>
      <c r="E36" s="87"/>
      <c r="F36" s="88"/>
      <c r="G36" s="89">
        <f>SUM(F31:F34)</f>
        <v>39.518</v>
      </c>
    </row>
    <row r="37" s="5" customFormat="1" ht="15.6" customHeight="1" spans="1:7">
      <c r="A37" s="78">
        <v>2</v>
      </c>
      <c r="B37" s="79" t="s">
        <v>134</v>
      </c>
      <c r="C37" s="80"/>
      <c r="D37" s="92"/>
      <c r="E37" s="87"/>
      <c r="F37" s="88"/>
      <c r="G37" s="89"/>
    </row>
    <row r="38" s="5" customFormat="1" ht="15.6" customHeight="1" spans="1:7">
      <c r="A38" s="84"/>
      <c r="B38" s="85" t="s">
        <v>135</v>
      </c>
      <c r="C38" s="91"/>
      <c r="D38" s="92"/>
      <c r="E38" s="87"/>
      <c r="F38" s="87"/>
      <c r="G38" s="82"/>
    </row>
    <row r="39" s="5" customFormat="1" ht="15.6" customHeight="1" spans="1:7">
      <c r="A39" s="84"/>
      <c r="B39" s="85" t="s">
        <v>136</v>
      </c>
      <c r="C39" s="91"/>
      <c r="D39" s="92"/>
      <c r="E39" s="87"/>
      <c r="F39" s="87"/>
      <c r="G39" s="82"/>
    </row>
    <row r="40" s="5" customFormat="1" ht="15.6" customHeight="1" spans="1:7">
      <c r="A40" s="78"/>
      <c r="B40" s="93"/>
      <c r="C40" s="94"/>
      <c r="D40" s="95"/>
      <c r="E40" s="83"/>
      <c r="F40" s="96"/>
      <c r="G40" s="83"/>
    </row>
    <row r="41" s="5" customFormat="1" ht="15.6" customHeight="1" spans="1:7">
      <c r="A41" s="78"/>
      <c r="B41" s="93"/>
      <c r="C41" s="94"/>
      <c r="D41" s="95"/>
      <c r="E41" s="83"/>
      <c r="F41" s="96"/>
      <c r="G41" s="83"/>
    </row>
    <row r="42" s="5" customFormat="1" ht="15.6" customHeight="1" spans="1:7">
      <c r="A42" s="78">
        <v>3</v>
      </c>
      <c r="B42" s="93" t="s">
        <v>137</v>
      </c>
      <c r="C42" s="94" t="s">
        <v>138</v>
      </c>
      <c r="D42" s="95" t="s">
        <v>139</v>
      </c>
      <c r="E42" s="83" t="s">
        <v>140</v>
      </c>
      <c r="F42" s="83" t="s">
        <v>141</v>
      </c>
      <c r="G42" s="83" t="s">
        <v>142</v>
      </c>
    </row>
    <row r="43" s="5" customFormat="1" ht="15.6" customHeight="1" spans="1:8">
      <c r="A43" s="78"/>
      <c r="B43" s="97"/>
      <c r="C43" s="98"/>
      <c r="D43" s="99"/>
      <c r="E43" s="100"/>
      <c r="F43" s="88"/>
      <c r="G43" s="101"/>
      <c r="H43" s="90"/>
    </row>
    <row r="44" s="5" customFormat="1" ht="15.6" customHeight="1" spans="1:8">
      <c r="A44" s="78"/>
      <c r="B44" s="97"/>
      <c r="C44" s="102"/>
      <c r="D44" s="103"/>
      <c r="E44" s="104"/>
      <c r="F44" s="105"/>
      <c r="G44" s="101"/>
      <c r="H44" s="90"/>
    </row>
    <row r="45" s="5" customFormat="1" ht="15.6" customHeight="1" spans="1:8">
      <c r="A45" s="78"/>
      <c r="B45" s="97"/>
      <c r="C45" s="106"/>
      <c r="D45" s="103"/>
      <c r="E45" s="107"/>
      <c r="F45" s="105"/>
      <c r="G45" s="101"/>
      <c r="H45" s="90"/>
    </row>
    <row r="46" s="5" customFormat="1" ht="15.6" customHeight="1" spans="1:8">
      <c r="A46" s="78"/>
      <c r="B46" s="97"/>
      <c r="C46" s="106"/>
      <c r="D46" s="103"/>
      <c r="E46" s="107"/>
      <c r="F46" s="105"/>
      <c r="G46" s="101"/>
      <c r="H46" s="90"/>
    </row>
    <row r="47" s="5" customFormat="1" ht="15.6" customHeight="1" spans="1:8">
      <c r="A47" s="78"/>
      <c r="B47" s="97"/>
      <c r="C47" s="106"/>
      <c r="D47" s="103"/>
      <c r="E47" s="107"/>
      <c r="F47" s="105"/>
      <c r="G47" s="101"/>
      <c r="H47" s="90"/>
    </row>
    <row r="48" s="5" customFormat="1" ht="15.6" customHeight="1" spans="1:8">
      <c r="A48" s="78"/>
      <c r="B48" s="97"/>
      <c r="C48" s="106"/>
      <c r="D48" s="103"/>
      <c r="E48" s="107"/>
      <c r="F48" s="105"/>
      <c r="G48" s="101"/>
      <c r="H48" s="90"/>
    </row>
    <row r="49" s="5" customFormat="1" ht="15.6" customHeight="1" spans="1:8">
      <c r="A49" s="78"/>
      <c r="B49" s="97"/>
      <c r="C49" s="106"/>
      <c r="D49" s="103"/>
      <c r="E49" s="107"/>
      <c r="F49" s="105"/>
      <c r="G49" s="101"/>
      <c r="H49" s="90"/>
    </row>
    <row r="50" s="5" customFormat="1" ht="15.6" customHeight="1" spans="1:8">
      <c r="A50" s="78"/>
      <c r="B50" s="97"/>
      <c r="C50" s="106"/>
      <c r="D50" s="103"/>
      <c r="E50" s="107"/>
      <c r="F50" s="105"/>
      <c r="G50" s="101"/>
      <c r="H50" s="90"/>
    </row>
    <row r="51" s="5" customFormat="1" ht="15.6" customHeight="1" spans="1:8">
      <c r="A51" s="78"/>
      <c r="B51" s="97"/>
      <c r="C51" s="106"/>
      <c r="D51" s="103"/>
      <c r="E51" s="107"/>
      <c r="F51" s="105"/>
      <c r="G51" s="101"/>
      <c r="H51" s="90"/>
    </row>
    <row r="52" s="5" customFormat="1" ht="15.6" customHeight="1" spans="1:8">
      <c r="A52" s="78"/>
      <c r="B52" s="97"/>
      <c r="C52" s="106"/>
      <c r="D52" s="103"/>
      <c r="E52" s="107"/>
      <c r="F52" s="105"/>
      <c r="G52" s="101"/>
      <c r="H52" s="90"/>
    </row>
    <row r="53" s="5" customFormat="1" ht="15.6" customHeight="1" spans="1:8">
      <c r="A53" s="78"/>
      <c r="B53" s="97"/>
      <c r="C53" s="106"/>
      <c r="D53" s="103"/>
      <c r="E53" s="107"/>
      <c r="F53" s="105"/>
      <c r="G53" s="101"/>
      <c r="H53" s="90"/>
    </row>
    <row r="54" s="5" customFormat="1" ht="15.6" customHeight="1" spans="1:7">
      <c r="A54" s="78"/>
      <c r="B54" s="108"/>
      <c r="C54" s="106"/>
      <c r="D54" s="100"/>
      <c r="E54" s="107"/>
      <c r="F54" s="105"/>
      <c r="G54" s="101"/>
    </row>
    <row r="55" s="5" customFormat="1" ht="15.6" customHeight="1" spans="1:7">
      <c r="A55" s="84"/>
      <c r="B55" s="108"/>
      <c r="C55" s="106"/>
      <c r="D55" s="100"/>
      <c r="E55" s="107"/>
      <c r="F55" s="105"/>
      <c r="G55" s="101"/>
    </row>
    <row r="56" s="5" customFormat="1" ht="15.6" customHeight="1" spans="1:7">
      <c r="A56" s="84"/>
      <c r="B56" s="108"/>
      <c r="C56" s="98"/>
      <c r="D56" s="100"/>
      <c r="E56" s="109"/>
      <c r="F56" s="105"/>
      <c r="G56" s="101"/>
    </row>
    <row r="57" s="5" customFormat="1" ht="15.6" customHeight="1" spans="1:7">
      <c r="A57" s="84"/>
      <c r="B57" s="97"/>
      <c r="C57" s="98"/>
      <c r="D57" s="110"/>
      <c r="E57" s="83"/>
      <c r="F57" s="105"/>
      <c r="G57" s="101">
        <f>SUM(F43:F55)</f>
        <v>0</v>
      </c>
    </row>
    <row r="58" s="5" customFormat="1" ht="15.6" customHeight="1" spans="1:7">
      <c r="A58" s="111"/>
      <c r="B58" s="97" t="s">
        <v>142</v>
      </c>
      <c r="C58" s="98"/>
      <c r="D58" s="112"/>
      <c r="E58" s="109"/>
      <c r="F58" s="105"/>
      <c r="G58" s="101"/>
    </row>
    <row r="59" s="5" customFormat="1" ht="15.6" customHeight="1" spans="1:7">
      <c r="A59" s="113" t="s">
        <v>142</v>
      </c>
      <c r="B59" s="114" t="s">
        <v>143</v>
      </c>
      <c r="C59" s="115"/>
      <c r="D59" s="116"/>
      <c r="E59" s="117"/>
      <c r="F59" s="118"/>
      <c r="G59" s="119">
        <f>SUM(G29:G58)</f>
        <v>39.518</v>
      </c>
    </row>
    <row r="60" s="5" customFormat="1" ht="15.6" customHeight="1" spans="1:7">
      <c r="A60" s="120"/>
      <c r="B60" s="121"/>
      <c r="C60" s="122"/>
      <c r="D60" s="123"/>
      <c r="E60" s="124"/>
      <c r="F60" s="124"/>
      <c r="G60" s="125"/>
    </row>
    <row r="61" s="5" customFormat="1" ht="15.6" customHeight="1" spans="1:7">
      <c r="A61" s="120"/>
      <c r="B61" s="121"/>
      <c r="C61" s="122"/>
      <c r="D61" s="123"/>
      <c r="E61" s="124"/>
      <c r="F61" s="124"/>
      <c r="G61" s="125"/>
    </row>
    <row r="62" s="5" customFormat="1" ht="15.6" customHeight="1" spans="1:7">
      <c r="A62" s="126" t="s">
        <v>144</v>
      </c>
      <c r="B62" s="121"/>
      <c r="C62" s="122"/>
      <c r="D62" s="123"/>
      <c r="E62" s="124"/>
      <c r="F62" s="124"/>
      <c r="G62" s="125"/>
    </row>
    <row r="63" s="5" customFormat="1" ht="27.6" customHeight="1" spans="1:7">
      <c r="A63" s="127"/>
      <c r="B63" s="68" t="s">
        <v>145</v>
      </c>
      <c r="C63" s="128" t="s">
        <v>146</v>
      </c>
      <c r="D63" s="129" t="s">
        <v>147</v>
      </c>
      <c r="E63" s="70" t="s">
        <v>148</v>
      </c>
      <c r="F63" s="70" t="s">
        <v>124</v>
      </c>
      <c r="G63" s="70" t="s">
        <v>149</v>
      </c>
    </row>
    <row r="64" s="5" customFormat="1" ht="15.6" customHeight="1" spans="1:7">
      <c r="A64" s="84"/>
      <c r="B64" s="97"/>
      <c r="C64" s="130"/>
      <c r="D64" s="131"/>
      <c r="E64" s="132"/>
      <c r="F64" s="133"/>
      <c r="G64" s="101"/>
    </row>
    <row r="65" s="5" customFormat="1" ht="15.6" customHeight="1" spans="1:7">
      <c r="A65" s="134">
        <v>1</v>
      </c>
      <c r="B65" s="135" t="s">
        <v>150</v>
      </c>
      <c r="C65" s="136"/>
      <c r="D65" s="137"/>
      <c r="E65" s="138"/>
      <c r="F65" s="139"/>
      <c r="G65" s="140"/>
    </row>
    <row r="66" s="5" customFormat="1" ht="15.6" customHeight="1" spans="1:7">
      <c r="A66" s="84"/>
      <c r="B66" s="97"/>
      <c r="C66" s="136"/>
      <c r="D66" s="137"/>
      <c r="E66" s="138"/>
      <c r="F66" s="139"/>
      <c r="G66" s="140"/>
    </row>
    <row r="67" s="5" customFormat="1" ht="15.6" customHeight="1" spans="1:7">
      <c r="A67" s="84"/>
      <c r="B67" s="97"/>
      <c r="C67" s="136"/>
      <c r="D67" s="137"/>
      <c r="E67" s="138"/>
      <c r="F67" s="139"/>
      <c r="G67" s="140">
        <f>SUM(F65:F66)</f>
        <v>0</v>
      </c>
    </row>
    <row r="68" s="5" customFormat="1" ht="15.6" customHeight="1" spans="1:7">
      <c r="A68" s="84"/>
      <c r="B68" s="97"/>
      <c r="C68" s="130"/>
      <c r="D68" s="131"/>
      <c r="E68" s="132"/>
      <c r="F68" s="133"/>
      <c r="G68" s="101"/>
    </row>
    <row r="69" s="5" customFormat="1" ht="15.6" customHeight="1" spans="1:7">
      <c r="A69" s="78">
        <v>2</v>
      </c>
      <c r="B69" s="93" t="s">
        <v>151</v>
      </c>
      <c r="C69" s="98"/>
      <c r="D69" s="112"/>
      <c r="E69" s="141"/>
      <c r="F69" s="105"/>
      <c r="G69" s="101"/>
    </row>
    <row r="70" s="5" customFormat="1" ht="15.6" customHeight="1" spans="1:7">
      <c r="A70" s="84"/>
      <c r="B70" s="97"/>
      <c r="C70" s="98"/>
      <c r="D70" s="131"/>
      <c r="E70" s="141"/>
      <c r="F70" s="133"/>
      <c r="G70" s="101"/>
    </row>
    <row r="71" s="5" customFormat="1" ht="15.6" customHeight="1" spans="1:7">
      <c r="A71" s="84" t="s">
        <v>152</v>
      </c>
      <c r="B71" s="142" t="s">
        <v>153</v>
      </c>
      <c r="C71" s="91" t="s">
        <v>154</v>
      </c>
      <c r="D71" s="92">
        <v>2</v>
      </c>
      <c r="E71" s="88">
        <v>0.797538461538463</v>
      </c>
      <c r="F71" s="88">
        <f>D71*E71</f>
        <v>1.59507692307693</v>
      </c>
      <c r="G71" s="101"/>
    </row>
    <row r="72" s="5" customFormat="1" ht="15.6" customHeight="1" spans="1:7">
      <c r="A72" s="84" t="s">
        <v>155</v>
      </c>
      <c r="B72" s="142" t="s">
        <v>156</v>
      </c>
      <c r="C72" s="91" t="s">
        <v>154</v>
      </c>
      <c r="D72" s="92">
        <v>2</v>
      </c>
      <c r="E72" s="88">
        <v>0.797538461538463</v>
      </c>
      <c r="F72" s="88">
        <f t="shared" ref="F72:F90" si="5">D72*E72</f>
        <v>1.59507692307693</v>
      </c>
      <c r="G72" s="101"/>
    </row>
    <row r="73" s="5" customFormat="1" ht="46.8" customHeight="1" spans="1:7">
      <c r="A73" s="84" t="s">
        <v>157</v>
      </c>
      <c r="B73" s="142" t="s">
        <v>158</v>
      </c>
      <c r="C73" s="91" t="s">
        <v>159</v>
      </c>
      <c r="D73" s="92">
        <v>1</v>
      </c>
      <c r="E73" s="88">
        <v>0.574714285714286</v>
      </c>
      <c r="F73" s="88">
        <f t="shared" si="5"/>
        <v>0.574714285714286</v>
      </c>
      <c r="G73" s="101"/>
    </row>
    <row r="74" s="5" customFormat="1" ht="15.6" customHeight="1" spans="1:7">
      <c r="A74" s="84" t="s">
        <v>160</v>
      </c>
      <c r="B74" s="142" t="s">
        <v>161</v>
      </c>
      <c r="C74" s="91" t="s">
        <v>162</v>
      </c>
      <c r="D74" s="92">
        <v>2</v>
      </c>
      <c r="E74" s="88">
        <v>2.0736</v>
      </c>
      <c r="F74" s="88">
        <f t="shared" si="5"/>
        <v>4.1472</v>
      </c>
      <c r="G74" s="101"/>
    </row>
    <row r="75" s="5" customFormat="1" ht="15.6" customHeight="1" spans="1:7">
      <c r="A75" s="84" t="s">
        <v>163</v>
      </c>
      <c r="B75" s="142" t="s">
        <v>164</v>
      </c>
      <c r="C75" s="91" t="s">
        <v>154</v>
      </c>
      <c r="D75" s="92">
        <v>1</v>
      </c>
      <c r="E75" s="88">
        <v>0.84</v>
      </c>
      <c r="F75" s="88">
        <f t="shared" si="5"/>
        <v>0.84</v>
      </c>
      <c r="G75" s="101"/>
    </row>
    <row r="76" s="5" customFormat="1" ht="46.8" customHeight="1" spans="1:7">
      <c r="A76" s="84" t="s">
        <v>165</v>
      </c>
      <c r="B76" s="142" t="s">
        <v>166</v>
      </c>
      <c r="C76" s="91" t="s">
        <v>159</v>
      </c>
      <c r="D76" s="92">
        <v>1</v>
      </c>
      <c r="E76" s="88">
        <v>0.502875</v>
      </c>
      <c r="F76" s="88">
        <f t="shared" si="5"/>
        <v>0.502875</v>
      </c>
      <c r="G76" s="101"/>
    </row>
    <row r="77" s="5" customFormat="1" ht="15.6" customHeight="1" spans="1:7">
      <c r="A77" s="84" t="s">
        <v>167</v>
      </c>
      <c r="B77" s="142" t="s">
        <v>168</v>
      </c>
      <c r="C77" s="91" t="s">
        <v>154</v>
      </c>
      <c r="D77" s="92">
        <v>1</v>
      </c>
      <c r="E77" s="88">
        <v>0.864</v>
      </c>
      <c r="F77" s="88">
        <f t="shared" si="5"/>
        <v>0.864</v>
      </c>
      <c r="G77" s="101"/>
    </row>
    <row r="78" s="5" customFormat="1" ht="15.6" customHeight="1" spans="1:7">
      <c r="A78" s="84" t="s">
        <v>169</v>
      </c>
      <c r="B78" s="142" t="s">
        <v>170</v>
      </c>
      <c r="C78" s="91" t="s">
        <v>154</v>
      </c>
      <c r="D78" s="92">
        <v>1</v>
      </c>
      <c r="E78" s="88">
        <v>0.797538461538462</v>
      </c>
      <c r="F78" s="88">
        <f t="shared" si="5"/>
        <v>0.797538461538462</v>
      </c>
      <c r="G78" s="101"/>
    </row>
    <row r="79" s="5" customFormat="1" ht="46.8" customHeight="1" spans="1:7">
      <c r="A79" s="84" t="s">
        <v>171</v>
      </c>
      <c r="B79" s="142" t="s">
        <v>172</v>
      </c>
      <c r="C79" s="91" t="s">
        <v>162</v>
      </c>
      <c r="D79" s="92">
        <v>1</v>
      </c>
      <c r="E79" s="88">
        <v>0.864</v>
      </c>
      <c r="F79" s="88">
        <f t="shared" si="5"/>
        <v>0.864</v>
      </c>
      <c r="G79" s="101"/>
    </row>
    <row r="80" s="5" customFormat="1" ht="46.8" customHeight="1" spans="1:7">
      <c r="A80" s="84" t="s">
        <v>173</v>
      </c>
      <c r="B80" s="142" t="s">
        <v>174</v>
      </c>
      <c r="C80" s="91" t="s">
        <v>159</v>
      </c>
      <c r="D80" s="92">
        <v>1</v>
      </c>
      <c r="E80" s="88">
        <v>0.574714285714286</v>
      </c>
      <c r="F80" s="88">
        <f t="shared" si="5"/>
        <v>0.574714285714286</v>
      </c>
      <c r="G80" s="101"/>
    </row>
    <row r="81" s="5" customFormat="1" ht="31.2" customHeight="1" spans="1:7">
      <c r="A81" s="84" t="s">
        <v>175</v>
      </c>
      <c r="B81" s="142" t="s">
        <v>176</v>
      </c>
      <c r="C81" s="91" t="s">
        <v>154</v>
      </c>
      <c r="D81" s="92">
        <v>1</v>
      </c>
      <c r="E81" s="88">
        <v>0.864</v>
      </c>
      <c r="F81" s="88">
        <f t="shared" si="5"/>
        <v>0.864</v>
      </c>
      <c r="G81" s="101"/>
    </row>
    <row r="82" s="5" customFormat="1" ht="78" customHeight="1" spans="1:7">
      <c r="A82" s="84" t="s">
        <v>177</v>
      </c>
      <c r="B82" s="142" t="s">
        <v>178</v>
      </c>
      <c r="C82" s="91" t="s">
        <v>154</v>
      </c>
      <c r="D82" s="92">
        <v>1</v>
      </c>
      <c r="E82" s="88">
        <v>0.864</v>
      </c>
      <c r="F82" s="88">
        <f t="shared" si="5"/>
        <v>0.864</v>
      </c>
      <c r="G82" s="101"/>
    </row>
    <row r="83" s="5" customFormat="1" ht="15.6" customHeight="1" spans="1:7">
      <c r="A83" s="84" t="s">
        <v>179</v>
      </c>
      <c r="B83" s="142" t="s">
        <v>180</v>
      </c>
      <c r="C83" s="91" t="s">
        <v>181</v>
      </c>
      <c r="D83" s="92">
        <v>1</v>
      </c>
      <c r="E83" s="88">
        <v>1.6875</v>
      </c>
      <c r="F83" s="88">
        <f t="shared" si="5"/>
        <v>1.6875</v>
      </c>
      <c r="G83" s="101"/>
    </row>
    <row r="84" s="5" customFormat="1" ht="15.6" customHeight="1" spans="1:7">
      <c r="A84" s="84" t="s">
        <v>182</v>
      </c>
      <c r="B84" s="142" t="s">
        <v>183</v>
      </c>
      <c r="C84" s="91" t="s">
        <v>162</v>
      </c>
      <c r="D84" s="92">
        <v>1</v>
      </c>
      <c r="E84" s="88">
        <v>0.942545454545455</v>
      </c>
      <c r="F84" s="88">
        <f t="shared" si="5"/>
        <v>0.942545454545455</v>
      </c>
      <c r="G84" s="101"/>
    </row>
    <row r="85" s="5" customFormat="1" ht="31.2" customHeight="1" spans="1:7">
      <c r="A85" s="84" t="s">
        <v>184</v>
      </c>
      <c r="B85" s="142" t="s">
        <v>185</v>
      </c>
      <c r="C85" s="91" t="s">
        <v>162</v>
      </c>
      <c r="D85" s="92">
        <v>1</v>
      </c>
      <c r="E85" s="88">
        <v>0.942545454545455</v>
      </c>
      <c r="F85" s="88">
        <f t="shared" si="5"/>
        <v>0.942545454545455</v>
      </c>
      <c r="G85" s="101"/>
    </row>
    <row r="86" s="5" customFormat="1" ht="46.8" customHeight="1" spans="1:7">
      <c r="A86" s="84" t="s">
        <v>186</v>
      </c>
      <c r="B86" s="142" t="s">
        <v>187</v>
      </c>
      <c r="C86" s="91" t="s">
        <v>159</v>
      </c>
      <c r="D86" s="92">
        <v>1</v>
      </c>
      <c r="E86" s="88">
        <v>0.574714285714286</v>
      </c>
      <c r="F86" s="88">
        <f t="shared" si="5"/>
        <v>0.574714285714286</v>
      </c>
      <c r="G86" s="101"/>
    </row>
    <row r="87" s="5" customFormat="1" ht="31.2" customHeight="1" spans="1:7">
      <c r="A87" s="84" t="s">
        <v>188</v>
      </c>
      <c r="B87" s="142" t="s">
        <v>189</v>
      </c>
      <c r="C87" s="91" t="s">
        <v>159</v>
      </c>
      <c r="D87" s="92">
        <v>1</v>
      </c>
      <c r="E87" s="88">
        <v>0.574714285714286</v>
      </c>
      <c r="F87" s="88">
        <f t="shared" si="5"/>
        <v>0.574714285714286</v>
      </c>
      <c r="G87" s="101"/>
    </row>
    <row r="88" s="5" customFormat="1" ht="31.2" customHeight="1" spans="1:7">
      <c r="A88" s="84" t="s">
        <v>190</v>
      </c>
      <c r="B88" s="142" t="s">
        <v>191</v>
      </c>
      <c r="C88" s="91" t="s">
        <v>159</v>
      </c>
      <c r="D88" s="92">
        <v>1</v>
      </c>
      <c r="E88" s="88">
        <v>0.574714285714286</v>
      </c>
      <c r="F88" s="88">
        <f t="shared" si="5"/>
        <v>0.574714285714286</v>
      </c>
      <c r="G88" s="101"/>
    </row>
    <row r="89" s="5" customFormat="1" ht="31.2" customHeight="1" spans="1:7">
      <c r="A89" s="84" t="s">
        <v>192</v>
      </c>
      <c r="B89" s="142" t="s">
        <v>193</v>
      </c>
      <c r="C89" s="91" t="s">
        <v>159</v>
      </c>
      <c r="D89" s="92">
        <v>1</v>
      </c>
      <c r="E89" s="88">
        <v>0.574714285714286</v>
      </c>
      <c r="F89" s="88">
        <f t="shared" si="5"/>
        <v>0.574714285714286</v>
      </c>
      <c r="G89" s="101"/>
    </row>
    <row r="90" s="5" customFormat="1" ht="31.2" customHeight="1" spans="1:7">
      <c r="A90" s="84" t="s">
        <v>194</v>
      </c>
      <c r="B90" s="142" t="s">
        <v>195</v>
      </c>
      <c r="C90" s="91" t="s">
        <v>159</v>
      </c>
      <c r="D90" s="92">
        <v>1</v>
      </c>
      <c r="E90" s="88">
        <v>0.5364</v>
      </c>
      <c r="F90" s="88">
        <f t="shared" si="5"/>
        <v>0.5364</v>
      </c>
      <c r="G90" s="101"/>
    </row>
    <row r="91" s="5" customFormat="1" ht="15.6" customHeight="1" spans="1:7">
      <c r="A91" s="84"/>
      <c r="B91" s="85"/>
      <c r="C91" s="91"/>
      <c r="D91" s="92"/>
      <c r="E91" s="88"/>
      <c r="F91" s="88"/>
      <c r="G91" s="101"/>
    </row>
    <row r="92" s="5" customFormat="1" ht="15.6" customHeight="1" spans="1:7">
      <c r="A92" s="84"/>
      <c r="B92" s="97"/>
      <c r="C92" s="98"/>
      <c r="D92" s="112"/>
      <c r="E92" s="141"/>
      <c r="F92" s="105"/>
      <c r="G92" s="101"/>
    </row>
    <row r="93" s="5" customFormat="1" ht="15.6" customHeight="1" spans="1:7">
      <c r="A93" s="78">
        <v>3</v>
      </c>
      <c r="B93" s="93" t="s">
        <v>196</v>
      </c>
      <c r="C93" s="98"/>
      <c r="D93" s="112"/>
      <c r="E93" s="141"/>
      <c r="F93" s="105"/>
      <c r="G93" s="101"/>
    </row>
    <row r="94" s="5" customFormat="1" ht="15.6" customHeight="1" spans="1:7">
      <c r="A94" s="84"/>
      <c r="B94" s="97"/>
      <c r="C94" s="98"/>
      <c r="D94" s="112"/>
      <c r="E94" s="141"/>
      <c r="F94" s="105"/>
      <c r="G94" s="101"/>
    </row>
    <row r="95" s="5" customFormat="1" ht="15.6" customHeight="1" spans="1:7">
      <c r="A95" s="84"/>
      <c r="B95" s="97"/>
      <c r="C95" s="98"/>
      <c r="D95" s="112"/>
      <c r="E95" s="141"/>
      <c r="F95" s="105"/>
      <c r="G95" s="101">
        <f>SUM(F71:F94)</f>
        <v>20.491043931069</v>
      </c>
    </row>
    <row r="96" s="5" customFormat="1" ht="15.6" customHeight="1" spans="1:7">
      <c r="A96" s="78"/>
      <c r="B96" s="97"/>
      <c r="C96" s="98"/>
      <c r="D96" s="112"/>
      <c r="E96" s="141"/>
      <c r="F96" s="105"/>
      <c r="G96" s="101"/>
    </row>
    <row r="97" s="5" customFormat="1" ht="15.6" customHeight="1" spans="1:7">
      <c r="A97" s="84"/>
      <c r="B97" s="97" t="s">
        <v>142</v>
      </c>
      <c r="C97" s="98"/>
      <c r="D97" s="112"/>
      <c r="E97" s="141"/>
      <c r="F97" s="105"/>
      <c r="G97" s="101"/>
    </row>
    <row r="98" s="5" customFormat="1" ht="15.6" customHeight="1" spans="1:7">
      <c r="A98" s="143" t="s">
        <v>142</v>
      </c>
      <c r="B98" s="144" t="s">
        <v>197</v>
      </c>
      <c r="C98" s="145"/>
      <c r="D98" s="146"/>
      <c r="E98" s="147"/>
      <c r="F98" s="148"/>
      <c r="G98" s="119">
        <f>SUM(G64:G97)</f>
        <v>20.491043931069</v>
      </c>
    </row>
    <row r="99" s="5" customFormat="1" ht="15.6" customHeight="1" spans="1:7">
      <c r="A99" s="120"/>
      <c r="B99" s="121"/>
      <c r="C99" s="122"/>
      <c r="D99" s="122"/>
      <c r="E99" s="124"/>
      <c r="F99" s="124"/>
      <c r="G99" s="125"/>
    </row>
    <row r="100" s="5" customFormat="1" ht="15.6" customHeight="1" spans="1:7">
      <c r="A100" s="120"/>
      <c r="B100" s="121"/>
      <c r="C100" s="122"/>
      <c r="D100" s="122"/>
      <c r="E100" s="124"/>
      <c r="F100" s="124"/>
      <c r="G100" s="125"/>
    </row>
    <row r="101" s="5" customFormat="1" ht="15.6" customHeight="1" spans="1:7">
      <c r="A101" s="126" t="s">
        <v>198</v>
      </c>
      <c r="B101" s="121"/>
      <c r="C101" s="122"/>
      <c r="D101" s="122"/>
      <c r="E101" s="124"/>
      <c r="F101" s="124"/>
      <c r="G101" s="125"/>
    </row>
    <row r="102" s="5" customFormat="1" ht="27.6" customHeight="1" spans="1:7">
      <c r="A102" s="127"/>
      <c r="B102" s="68" t="s">
        <v>199</v>
      </c>
      <c r="C102" s="128" t="s">
        <v>200</v>
      </c>
      <c r="D102" s="149" t="s">
        <v>16</v>
      </c>
      <c r="E102" s="70" t="s">
        <v>148</v>
      </c>
      <c r="F102" s="70" t="s">
        <v>124</v>
      </c>
      <c r="G102" s="70" t="s">
        <v>149</v>
      </c>
    </row>
    <row r="103" s="5" customFormat="1" ht="15.6" customHeight="1" spans="1:7">
      <c r="A103" s="84"/>
      <c r="B103" s="97"/>
      <c r="C103" s="98"/>
      <c r="D103" s="150"/>
      <c r="E103" s="109"/>
      <c r="F103" s="151"/>
      <c r="G103" s="152"/>
    </row>
    <row r="104" s="5" customFormat="1" ht="15.6" customHeight="1" spans="1:7">
      <c r="A104" s="78">
        <v>1</v>
      </c>
      <c r="B104" s="79" t="s">
        <v>201</v>
      </c>
      <c r="C104" s="80" t="s">
        <v>142</v>
      </c>
      <c r="D104" s="81" t="s">
        <v>142</v>
      </c>
      <c r="E104" s="82" t="s">
        <v>142</v>
      </c>
      <c r="F104" s="82"/>
      <c r="G104" s="82"/>
    </row>
    <row r="105" s="5" customFormat="1" ht="15.6" customHeight="1" spans="1:8">
      <c r="A105" s="78"/>
      <c r="B105" s="85" t="s">
        <v>202</v>
      </c>
      <c r="C105" s="153" t="s">
        <v>203</v>
      </c>
      <c r="D105" s="154">
        <v>1</v>
      </c>
      <c r="E105" s="88">
        <v>0.5</v>
      </c>
      <c r="F105" s="88">
        <f>E105*D105</f>
        <v>0.5</v>
      </c>
      <c r="G105" s="88"/>
      <c r="H105" s="3"/>
    </row>
    <row r="106" s="5" customFormat="1" ht="15.6" customHeight="1" spans="1:8">
      <c r="A106" s="78"/>
      <c r="B106" s="85" t="s">
        <v>204</v>
      </c>
      <c r="C106" s="153" t="s">
        <v>203</v>
      </c>
      <c r="D106" s="154">
        <v>1</v>
      </c>
      <c r="E106" s="88">
        <v>3.2</v>
      </c>
      <c r="F106" s="88">
        <f>D106*E106</f>
        <v>3.2</v>
      </c>
      <c r="G106" s="88"/>
      <c r="H106" s="3"/>
    </row>
    <row r="107" s="5" customFormat="1" ht="15.6" customHeight="1" spans="1:7">
      <c r="A107" s="78"/>
      <c r="B107" s="85"/>
      <c r="C107" s="153"/>
      <c r="D107" s="154"/>
      <c r="E107" s="88"/>
      <c r="F107" s="155"/>
      <c r="G107" s="88"/>
    </row>
    <row r="108" s="5" customFormat="1" ht="15.6" customHeight="1" spans="1:7">
      <c r="A108" s="84"/>
      <c r="B108" s="85" t="s">
        <v>142</v>
      </c>
      <c r="C108" s="91"/>
      <c r="D108" s="154" t="s">
        <v>142</v>
      </c>
      <c r="E108" s="88"/>
      <c r="F108" s="88"/>
      <c r="G108" s="89">
        <f>SUM(F105:F106)</f>
        <v>3.7</v>
      </c>
    </row>
    <row r="109" s="5" customFormat="1" ht="15.6" customHeight="1" spans="1:7">
      <c r="A109" s="78">
        <v>2</v>
      </c>
      <c r="B109" s="79" t="s">
        <v>205</v>
      </c>
      <c r="C109" s="80"/>
      <c r="D109" s="154"/>
      <c r="E109" s="88"/>
      <c r="F109" s="88"/>
      <c r="G109" s="89"/>
    </row>
    <row r="110" s="5" customFormat="1" ht="15.6" customHeight="1" spans="1:7">
      <c r="A110" s="78"/>
      <c r="B110" s="85"/>
      <c r="C110" s="153"/>
      <c r="D110" s="154"/>
      <c r="E110" s="88"/>
      <c r="F110" s="88"/>
      <c r="G110" s="89"/>
    </row>
    <row r="111" s="5" customFormat="1" ht="15.6" customHeight="1" spans="1:7">
      <c r="A111" s="78"/>
      <c r="B111" s="79"/>
      <c r="C111" s="80"/>
      <c r="D111" s="154"/>
      <c r="E111" s="88"/>
      <c r="F111" s="88"/>
      <c r="G111" s="89"/>
    </row>
    <row r="112" s="5" customFormat="1" ht="15.6" customHeight="1" spans="1:7">
      <c r="A112" s="78"/>
      <c r="B112" s="79"/>
      <c r="C112" s="80"/>
      <c r="D112" s="154"/>
      <c r="E112" s="88"/>
      <c r="F112" s="88"/>
      <c r="G112" s="89"/>
    </row>
    <row r="113" s="5" customFormat="1" ht="15.6" customHeight="1" spans="1:7">
      <c r="A113" s="78"/>
      <c r="B113" s="79"/>
      <c r="C113" s="80"/>
      <c r="D113" s="154"/>
      <c r="E113" s="88"/>
      <c r="F113" s="88"/>
      <c r="G113" s="89"/>
    </row>
    <row r="114" s="5" customFormat="1" ht="15.6" customHeight="1" spans="1:7">
      <c r="A114" s="78"/>
      <c r="B114" s="79"/>
      <c r="C114" s="80"/>
      <c r="D114" s="154"/>
      <c r="E114" s="88"/>
      <c r="F114" s="88"/>
      <c r="G114" s="89">
        <f>SUM(F110:F113)</f>
        <v>0</v>
      </c>
    </row>
    <row r="115" s="5" customFormat="1" ht="15.6" customHeight="1" spans="1:7">
      <c r="A115" s="78">
        <v>3</v>
      </c>
      <c r="B115" s="79" t="s">
        <v>206</v>
      </c>
      <c r="C115" s="80"/>
      <c r="D115" s="81"/>
      <c r="E115" s="88"/>
      <c r="F115" s="88"/>
      <c r="G115" s="89"/>
    </row>
    <row r="116" s="5" customFormat="1" ht="19" customHeight="1" spans="1:7">
      <c r="A116" s="78"/>
      <c r="B116" s="85"/>
      <c r="C116" s="153"/>
      <c r="D116" s="156"/>
      <c r="E116" s="88"/>
      <c r="F116" s="88"/>
      <c r="G116" s="89"/>
    </row>
    <row r="117" s="3" customFormat="1" ht="18" customHeight="1" spans="1:7">
      <c r="A117" s="78"/>
      <c r="B117" s="85" t="s">
        <v>207</v>
      </c>
      <c r="C117" s="153" t="s">
        <v>208</v>
      </c>
      <c r="D117" s="156">
        <v>4</v>
      </c>
      <c r="E117" s="88">
        <v>0.05</v>
      </c>
      <c r="F117" s="88">
        <f>D117*E117</f>
        <v>0.2</v>
      </c>
      <c r="G117" s="89"/>
    </row>
    <row r="118" s="3" customFormat="1" ht="18" customHeight="1" spans="1:7">
      <c r="A118" s="78"/>
      <c r="B118" s="85" t="s">
        <v>209</v>
      </c>
      <c r="C118" s="153" t="s">
        <v>203</v>
      </c>
      <c r="D118" s="156">
        <v>1</v>
      </c>
      <c r="E118" s="88">
        <v>0.06</v>
      </c>
      <c r="F118" s="88">
        <f>D118*E118</f>
        <v>0.06</v>
      </c>
      <c r="G118" s="89"/>
    </row>
    <row r="119" s="3" customFormat="1" ht="18" customHeight="1" spans="1:7">
      <c r="A119" s="78"/>
      <c r="B119" s="85" t="s">
        <v>210</v>
      </c>
      <c r="C119" s="153" t="s">
        <v>203</v>
      </c>
      <c r="D119" s="156">
        <v>1</v>
      </c>
      <c r="E119" s="88">
        <v>0.0671379310344828</v>
      </c>
      <c r="F119" s="88">
        <f>D119*E119</f>
        <v>0.0671379310344828</v>
      </c>
      <c r="G119" s="89"/>
    </row>
    <row r="120" s="3" customFormat="1" ht="18" customHeight="1" spans="1:7">
      <c r="A120" s="78"/>
      <c r="B120" s="142" t="s">
        <v>211</v>
      </c>
      <c r="C120" s="153" t="s">
        <v>208</v>
      </c>
      <c r="D120" s="156">
        <v>8</v>
      </c>
      <c r="E120" s="88">
        <v>0.19</v>
      </c>
      <c r="F120" s="88">
        <f>D120*E120</f>
        <v>1.52</v>
      </c>
      <c r="G120" s="89"/>
    </row>
    <row r="121" s="3" customFormat="1" ht="18" customHeight="1" spans="1:7">
      <c r="A121" s="78"/>
      <c r="B121" s="142" t="s">
        <v>212</v>
      </c>
      <c r="C121" s="153" t="s">
        <v>208</v>
      </c>
      <c r="D121" s="156">
        <v>4</v>
      </c>
      <c r="E121" s="88">
        <v>0.176379310344828</v>
      </c>
      <c r="F121" s="88">
        <f t="shared" ref="F121:F136" si="6">D121*E121</f>
        <v>0.705517241379312</v>
      </c>
      <c r="G121" s="89"/>
    </row>
    <row r="122" s="3" customFormat="1" ht="18" customHeight="1" spans="1:7">
      <c r="A122" s="78"/>
      <c r="B122" s="142" t="s">
        <v>213</v>
      </c>
      <c r="C122" s="153" t="s">
        <v>208</v>
      </c>
      <c r="D122" s="156">
        <v>2</v>
      </c>
      <c r="E122" s="88">
        <v>0.84</v>
      </c>
      <c r="F122" s="88">
        <f t="shared" si="6"/>
        <v>1.68</v>
      </c>
      <c r="G122" s="89"/>
    </row>
    <row r="123" s="3" customFormat="1" ht="18" customHeight="1" spans="1:7">
      <c r="A123" s="78"/>
      <c r="B123" s="142" t="s">
        <v>214</v>
      </c>
      <c r="C123" s="153" t="s">
        <v>203</v>
      </c>
      <c r="D123" s="156">
        <v>1</v>
      </c>
      <c r="E123" s="88">
        <v>0.0250344827586207</v>
      </c>
      <c r="F123" s="88">
        <f t="shared" si="6"/>
        <v>0.0250344827586207</v>
      </c>
      <c r="G123" s="89"/>
    </row>
    <row r="124" s="3" customFormat="1" ht="18" customHeight="1" spans="1:7">
      <c r="A124" s="78"/>
      <c r="B124" s="142" t="s">
        <v>215</v>
      </c>
      <c r="C124" s="153" t="s">
        <v>203</v>
      </c>
      <c r="D124" s="156">
        <v>1</v>
      </c>
      <c r="E124" s="88">
        <v>0.0284482758620689</v>
      </c>
      <c r="F124" s="88">
        <f t="shared" si="6"/>
        <v>0.0284482758620689</v>
      </c>
      <c r="G124" s="89"/>
    </row>
    <row r="125" s="3" customFormat="1" ht="18" customHeight="1" spans="1:7">
      <c r="A125" s="78"/>
      <c r="B125" s="142" t="s">
        <v>216</v>
      </c>
      <c r="C125" s="153" t="s">
        <v>203</v>
      </c>
      <c r="D125" s="156">
        <v>1</v>
      </c>
      <c r="E125" s="88">
        <v>0.0512068965517241</v>
      </c>
      <c r="F125" s="88">
        <f t="shared" si="6"/>
        <v>0.0512068965517241</v>
      </c>
      <c r="G125" s="89"/>
    </row>
    <row r="126" s="3" customFormat="1" ht="18" customHeight="1" spans="1:7">
      <c r="A126" s="78"/>
      <c r="B126" s="142" t="s">
        <v>217</v>
      </c>
      <c r="C126" s="153" t="s">
        <v>208</v>
      </c>
      <c r="D126" s="156">
        <v>83</v>
      </c>
      <c r="E126" s="88">
        <v>0.00625655172413793</v>
      </c>
      <c r="F126" s="88">
        <f t="shared" si="6"/>
        <v>0.519293793103448</v>
      </c>
      <c r="G126" s="89"/>
    </row>
    <row r="127" s="3" customFormat="1" ht="18" customHeight="1" spans="1:7">
      <c r="A127" s="78"/>
      <c r="B127" s="142" t="s">
        <v>218</v>
      </c>
      <c r="C127" s="153" t="s">
        <v>208</v>
      </c>
      <c r="D127" s="156">
        <v>6</v>
      </c>
      <c r="E127" s="88">
        <v>0.02646</v>
      </c>
      <c r="F127" s="88">
        <f t="shared" si="6"/>
        <v>0.15876</v>
      </c>
      <c r="G127" s="89"/>
    </row>
    <row r="128" s="3" customFormat="1" ht="18" customHeight="1" spans="1:7">
      <c r="A128" s="78"/>
      <c r="B128" s="142" t="s">
        <v>219</v>
      </c>
      <c r="C128" s="153" t="s">
        <v>208</v>
      </c>
      <c r="D128" s="156">
        <v>14</v>
      </c>
      <c r="E128" s="88">
        <v>0.0166896551724138</v>
      </c>
      <c r="F128" s="88">
        <f t="shared" si="6"/>
        <v>0.233655172413793</v>
      </c>
      <c r="G128" s="89"/>
    </row>
    <row r="129" s="3" customFormat="1" ht="18" customHeight="1" spans="1:7">
      <c r="A129" s="78"/>
      <c r="B129" s="142" t="s">
        <v>220</v>
      </c>
      <c r="C129" s="153" t="s">
        <v>208</v>
      </c>
      <c r="D129" s="156">
        <v>8</v>
      </c>
      <c r="E129" s="88">
        <v>0.0185089655172414</v>
      </c>
      <c r="F129" s="88">
        <f t="shared" si="6"/>
        <v>0.148071724137931</v>
      </c>
      <c r="G129" s="89"/>
    </row>
    <row r="130" s="3" customFormat="1" ht="18" customHeight="1" spans="1:7">
      <c r="A130" s="78"/>
      <c r="B130" s="85" t="s">
        <v>221</v>
      </c>
      <c r="C130" s="153" t="s">
        <v>203</v>
      </c>
      <c r="D130" s="156">
        <v>1</v>
      </c>
      <c r="E130" s="88">
        <v>0.0123908045977012</v>
      </c>
      <c r="F130" s="88">
        <f t="shared" si="6"/>
        <v>0.0123908045977012</v>
      </c>
      <c r="G130" s="89"/>
    </row>
    <row r="131" s="3" customFormat="1" ht="18" customHeight="1" spans="1:7">
      <c r="A131" s="78"/>
      <c r="B131" s="85" t="s">
        <v>222</v>
      </c>
      <c r="C131" s="153" t="s">
        <v>203</v>
      </c>
      <c r="D131" s="156">
        <v>1</v>
      </c>
      <c r="E131" s="88">
        <v>0.00990620689655172</v>
      </c>
      <c r="F131" s="88">
        <f t="shared" si="6"/>
        <v>0.00990620689655172</v>
      </c>
      <c r="G131" s="89"/>
    </row>
    <row r="132" s="3" customFormat="1" ht="18" customHeight="1" spans="1:7">
      <c r="A132" s="78"/>
      <c r="B132" s="142" t="s">
        <v>223</v>
      </c>
      <c r="C132" s="153" t="s">
        <v>208</v>
      </c>
      <c r="D132" s="156">
        <v>3</v>
      </c>
      <c r="E132" s="88">
        <v>0.0229928275862069</v>
      </c>
      <c r="F132" s="88">
        <f t="shared" si="6"/>
        <v>0.0689784827586207</v>
      </c>
      <c r="G132" s="89"/>
    </row>
    <row r="133" s="3" customFormat="1" ht="18" customHeight="1" spans="1:7">
      <c r="A133" s="78"/>
      <c r="B133" s="142" t="s">
        <v>224</v>
      </c>
      <c r="C133" s="153" t="s">
        <v>203</v>
      </c>
      <c r="D133" s="156">
        <v>3</v>
      </c>
      <c r="E133" s="88">
        <v>0.0559765862068966</v>
      </c>
      <c r="F133" s="88">
        <f t="shared" si="6"/>
        <v>0.16792975862069</v>
      </c>
      <c r="G133" s="89"/>
    </row>
    <row r="134" s="3" customFormat="1" ht="18" customHeight="1" spans="1:7">
      <c r="A134" s="78"/>
      <c r="B134" s="142" t="s">
        <v>225</v>
      </c>
      <c r="C134" s="153" t="s">
        <v>203</v>
      </c>
      <c r="D134" s="156">
        <v>1</v>
      </c>
      <c r="E134" s="88">
        <v>0.11</v>
      </c>
      <c r="F134" s="88">
        <f t="shared" si="6"/>
        <v>0.11</v>
      </c>
      <c r="G134" s="89"/>
    </row>
    <row r="135" s="3" customFormat="1" ht="18" customHeight="1" spans="1:7">
      <c r="A135" s="78"/>
      <c r="B135" s="142" t="s">
        <v>226</v>
      </c>
      <c r="C135" s="153" t="s">
        <v>208</v>
      </c>
      <c r="D135" s="156">
        <v>2</v>
      </c>
      <c r="E135" s="88">
        <v>0.391034482758621</v>
      </c>
      <c r="F135" s="88">
        <f t="shared" si="6"/>
        <v>0.782068965517242</v>
      </c>
      <c r="G135" s="89"/>
    </row>
    <row r="136" s="3" customFormat="1" ht="18" customHeight="1" spans="1:7">
      <c r="A136" s="78"/>
      <c r="B136" s="142" t="s">
        <v>227</v>
      </c>
      <c r="C136" s="153" t="s">
        <v>208</v>
      </c>
      <c r="D136" s="156">
        <v>2</v>
      </c>
      <c r="E136" s="88">
        <v>0.189655172413793</v>
      </c>
      <c r="F136" s="88">
        <f t="shared" si="6"/>
        <v>0.379310344827586</v>
      </c>
      <c r="G136" s="89"/>
    </row>
    <row r="137" s="5" customFormat="1" ht="18" customHeight="1" spans="1:7">
      <c r="A137" s="157"/>
      <c r="B137" s="85"/>
      <c r="C137" s="153"/>
      <c r="D137" s="156"/>
      <c r="E137" s="88"/>
      <c r="F137" s="88"/>
      <c r="G137" s="89"/>
    </row>
    <row r="138" s="5" customFormat="1" ht="18" customHeight="1" spans="1:7">
      <c r="A138" s="157"/>
      <c r="B138" s="85"/>
      <c r="C138" s="153"/>
      <c r="D138" s="156"/>
      <c r="E138" s="88"/>
      <c r="F138" s="88"/>
      <c r="G138" s="89"/>
    </row>
    <row r="139" s="5" customFormat="1" ht="15.6" customHeight="1" spans="1:7">
      <c r="A139" s="78"/>
      <c r="B139" s="97"/>
      <c r="C139" s="94"/>
      <c r="D139" s="158"/>
      <c r="E139" s="141"/>
      <c r="F139" s="105"/>
      <c r="G139" s="101">
        <f>SUM(F116:F138)</f>
        <v>6.92771008045977</v>
      </c>
    </row>
    <row r="140" s="5" customFormat="1" ht="15.6" customHeight="1" spans="1:7">
      <c r="A140" s="84"/>
      <c r="B140" s="97"/>
      <c r="C140" s="98"/>
      <c r="D140" s="150"/>
      <c r="E140" s="141"/>
      <c r="F140" s="105"/>
      <c r="G140" s="101"/>
    </row>
    <row r="141" s="5" customFormat="1" ht="15.6" customHeight="1" spans="1:7">
      <c r="A141" s="143" t="s">
        <v>142</v>
      </c>
      <c r="B141" s="144" t="s">
        <v>228</v>
      </c>
      <c r="C141" s="145"/>
      <c r="D141" s="146"/>
      <c r="E141" s="159"/>
      <c r="F141" s="160"/>
      <c r="G141" s="119">
        <f>SUM(G103:G140)</f>
        <v>10.6277100804598</v>
      </c>
    </row>
    <row r="142" s="5" customFormat="1" ht="15.6" customHeight="1" spans="1:7">
      <c r="A142" s="120"/>
      <c r="B142" s="121"/>
      <c r="C142" s="122"/>
      <c r="D142" s="122"/>
      <c r="E142" s="124"/>
      <c r="F142" s="124"/>
      <c r="G142" s="125"/>
    </row>
    <row r="143" s="5" customFormat="1" ht="15.6" customHeight="1" spans="1:7">
      <c r="A143" s="120"/>
      <c r="B143" s="121"/>
      <c r="C143" s="122"/>
      <c r="D143" s="122"/>
      <c r="E143" s="124"/>
      <c r="F143" s="124"/>
      <c r="G143" s="125"/>
    </row>
    <row r="144" s="5" customFormat="1" ht="15.6" customHeight="1" spans="1:7">
      <c r="A144" s="126" t="s">
        <v>229</v>
      </c>
      <c r="B144" s="121"/>
      <c r="C144" s="122"/>
      <c r="D144" s="122"/>
      <c r="E144" s="124"/>
      <c r="F144" s="124"/>
      <c r="G144" s="125"/>
    </row>
    <row r="145" s="5" customFormat="1" ht="27.6" customHeight="1" spans="1:7">
      <c r="A145" s="161"/>
      <c r="B145" s="68" t="s">
        <v>199</v>
      </c>
      <c r="C145" s="128" t="s">
        <v>200</v>
      </c>
      <c r="D145" s="149" t="s">
        <v>16</v>
      </c>
      <c r="E145" s="70" t="s">
        <v>49</v>
      </c>
      <c r="F145" s="70" t="s">
        <v>124</v>
      </c>
      <c r="G145" s="70" t="s">
        <v>149</v>
      </c>
    </row>
    <row r="146" s="5" customFormat="1" ht="15.6" customHeight="1" spans="1:7">
      <c r="A146" s="111"/>
      <c r="B146" s="97"/>
      <c r="C146" s="98"/>
      <c r="D146" s="150"/>
      <c r="E146" s="109"/>
      <c r="F146" s="151"/>
      <c r="G146" s="152"/>
    </row>
    <row r="147" s="5" customFormat="1" ht="15.6" customHeight="1" spans="1:8">
      <c r="A147" s="78"/>
      <c r="B147" s="97"/>
      <c r="C147" s="162" t="s">
        <v>203</v>
      </c>
      <c r="D147" s="163">
        <v>1</v>
      </c>
      <c r="E147" s="141"/>
      <c r="F147" s="105"/>
      <c r="G147" s="141"/>
      <c r="H147" s="90"/>
    </row>
    <row r="148" s="5" customFormat="1" ht="15.6" customHeight="1" spans="1:7">
      <c r="A148" s="164"/>
      <c r="B148" s="97"/>
      <c r="C148" s="165"/>
      <c r="D148" s="150"/>
      <c r="E148" s="141"/>
      <c r="F148" s="105"/>
      <c r="G148" s="101">
        <f>SUM(F147:F148)</f>
        <v>0</v>
      </c>
    </row>
    <row r="149" s="5" customFormat="1" ht="15.6" customHeight="1" spans="1:7">
      <c r="A149" s="143" t="s">
        <v>142</v>
      </c>
      <c r="B149" s="166" t="s">
        <v>230</v>
      </c>
      <c r="C149" s="167"/>
      <c r="D149" s="168"/>
      <c r="E149" s="159"/>
      <c r="F149" s="160"/>
      <c r="G149" s="119">
        <f>SUM(G147:G148)</f>
        <v>0</v>
      </c>
    </row>
    <row r="150" s="5" customFormat="1" ht="15.6" customHeight="1" spans="1:7">
      <c r="A150" s="120"/>
      <c r="B150" s="121"/>
      <c r="C150" s="122"/>
      <c r="D150" s="122"/>
      <c r="E150" s="124"/>
      <c r="F150" s="124"/>
      <c r="G150" s="125"/>
    </row>
    <row r="151" s="5" customFormat="1" ht="15.6" customHeight="1" spans="1:7">
      <c r="A151" s="120"/>
      <c r="B151" s="121"/>
      <c r="C151" s="122"/>
      <c r="D151" s="122"/>
      <c r="E151" s="124"/>
      <c r="F151" s="124"/>
      <c r="G151" s="125"/>
    </row>
    <row r="152" s="5" customFormat="1" ht="15.6" customHeight="1" spans="1:7">
      <c r="A152" s="126" t="s">
        <v>231</v>
      </c>
      <c r="B152" s="121"/>
      <c r="C152" s="122"/>
      <c r="D152" s="122"/>
      <c r="E152" s="124"/>
      <c r="F152" s="124"/>
      <c r="G152" s="125"/>
    </row>
    <row r="153" s="5" customFormat="1" ht="27.6" customHeight="1" spans="1:7">
      <c r="A153" s="169"/>
      <c r="B153" s="68" t="s">
        <v>101</v>
      </c>
      <c r="C153" s="69" t="s">
        <v>232</v>
      </c>
      <c r="D153" s="69" t="s">
        <v>233</v>
      </c>
      <c r="E153" s="70" t="s">
        <v>49</v>
      </c>
      <c r="F153" s="70" t="s">
        <v>124</v>
      </c>
      <c r="G153" s="70" t="s">
        <v>149</v>
      </c>
    </row>
    <row r="154" s="5" customFormat="1" ht="15.6" customHeight="1" spans="1:7">
      <c r="A154" s="170"/>
      <c r="B154" s="171"/>
      <c r="C154" s="172"/>
      <c r="D154" s="150"/>
      <c r="E154" s="109"/>
      <c r="F154" s="109"/>
      <c r="G154" s="83"/>
    </row>
    <row r="155" s="5" customFormat="1" ht="15.6" customHeight="1" spans="1:7">
      <c r="A155" s="78">
        <v>1</v>
      </c>
      <c r="B155" s="79" t="s">
        <v>234</v>
      </c>
      <c r="C155" s="81" t="s">
        <v>142</v>
      </c>
      <c r="D155" s="81" t="s">
        <v>142</v>
      </c>
      <c r="E155" s="82" t="s">
        <v>142</v>
      </c>
      <c r="F155" s="82"/>
      <c r="G155" s="82"/>
    </row>
    <row r="156" s="5" customFormat="1" ht="15.6" customHeight="1" spans="1:8">
      <c r="A156" s="84"/>
      <c r="B156" s="85" t="s">
        <v>235</v>
      </c>
      <c r="C156" s="173" t="s">
        <v>203</v>
      </c>
      <c r="D156" s="92"/>
      <c r="E156" s="88"/>
      <c r="F156" s="88"/>
      <c r="G156" s="89"/>
      <c r="H156" s="90"/>
    </row>
    <row r="157" s="5" customFormat="1" ht="15.6" customHeight="1" spans="1:7">
      <c r="A157" s="84"/>
      <c r="B157" s="85" t="s">
        <v>236</v>
      </c>
      <c r="C157" s="173" t="s">
        <v>237</v>
      </c>
      <c r="D157" s="92">
        <v>80</v>
      </c>
      <c r="E157" s="88">
        <v>0.144</v>
      </c>
      <c r="F157" s="88">
        <f>E157*D157</f>
        <v>11.52</v>
      </c>
      <c r="G157" s="89" t="s">
        <v>142</v>
      </c>
    </row>
    <row r="158" s="5" customFormat="1" ht="15.6" customHeight="1" spans="1:7">
      <c r="A158" s="84"/>
      <c r="B158" s="85" t="s">
        <v>238</v>
      </c>
      <c r="C158" s="173"/>
      <c r="D158" s="92"/>
      <c r="E158" s="88"/>
      <c r="F158" s="88"/>
      <c r="G158" s="89"/>
    </row>
    <row r="159" s="5" customFormat="1" ht="15.6" customHeight="1" spans="1:7">
      <c r="A159" s="84"/>
      <c r="B159" s="85"/>
      <c r="C159" s="173"/>
      <c r="D159" s="92"/>
      <c r="E159" s="88"/>
      <c r="F159" s="88"/>
      <c r="G159" s="89">
        <f>SUM(F156:F158)</f>
        <v>11.52</v>
      </c>
    </row>
    <row r="160" s="5" customFormat="1" ht="15.6" customHeight="1" spans="1:7">
      <c r="A160" s="78">
        <v>2</v>
      </c>
      <c r="B160" s="79" t="s">
        <v>239</v>
      </c>
      <c r="C160" s="173"/>
      <c r="D160" s="92"/>
      <c r="E160" s="88"/>
      <c r="F160" s="88"/>
      <c r="G160" s="89"/>
    </row>
    <row r="161" s="5" customFormat="1" ht="15.6" customHeight="1" spans="1:7">
      <c r="A161" s="78"/>
      <c r="B161" s="85" t="s">
        <v>240</v>
      </c>
      <c r="C161" s="173" t="s">
        <v>237</v>
      </c>
      <c r="D161" s="92"/>
      <c r="E161" s="88"/>
      <c r="F161" s="88"/>
      <c r="G161" s="89"/>
    </row>
    <row r="162" s="5" customFormat="1" ht="15.6" customHeight="1" spans="1:7">
      <c r="A162" s="78"/>
      <c r="B162" s="85" t="s">
        <v>241</v>
      </c>
      <c r="C162" s="173" t="s">
        <v>242</v>
      </c>
      <c r="D162" s="92"/>
      <c r="E162" s="88"/>
      <c r="F162" s="88"/>
      <c r="G162" s="89"/>
    </row>
    <row r="163" s="5" customFormat="1" ht="15.6" customHeight="1" spans="1:7">
      <c r="A163" s="78"/>
      <c r="B163" s="79"/>
      <c r="C163" s="173"/>
      <c r="D163" s="92"/>
      <c r="E163" s="88"/>
      <c r="F163" s="88"/>
      <c r="G163" s="89">
        <f>SUM(F161:F162)</f>
        <v>0</v>
      </c>
    </row>
    <row r="164" s="5" customFormat="1" ht="15.6" customHeight="1" spans="1:7">
      <c r="A164" s="78">
        <v>3</v>
      </c>
      <c r="B164" s="79" t="s">
        <v>243</v>
      </c>
      <c r="C164" s="173" t="s">
        <v>242</v>
      </c>
      <c r="D164" s="92"/>
      <c r="E164" s="88"/>
      <c r="F164" s="88"/>
      <c r="G164" s="89"/>
    </row>
    <row r="165" s="5" customFormat="1" ht="15.6" customHeight="1" spans="1:7">
      <c r="A165" s="78"/>
      <c r="B165" s="79"/>
      <c r="C165" s="173"/>
      <c r="D165" s="92"/>
      <c r="E165" s="88"/>
      <c r="F165" s="88"/>
      <c r="G165" s="89">
        <f>SUM(F164)</f>
        <v>0</v>
      </c>
    </row>
    <row r="166" s="5" customFormat="1" ht="15.6" customHeight="1" spans="1:7">
      <c r="A166" s="78">
        <v>4</v>
      </c>
      <c r="B166" s="79" t="s">
        <v>244</v>
      </c>
      <c r="C166" s="173" t="s">
        <v>245</v>
      </c>
      <c r="D166" s="92"/>
      <c r="E166" s="88"/>
      <c r="F166" s="88"/>
      <c r="G166" s="89"/>
    </row>
    <row r="167" s="5" customFormat="1" ht="15.6" customHeight="1" spans="1:7">
      <c r="A167" s="78"/>
      <c r="B167" s="79"/>
      <c r="C167" s="173"/>
      <c r="D167" s="92"/>
      <c r="E167" s="88"/>
      <c r="F167" s="88"/>
      <c r="G167" s="89">
        <f>SUM(F166)</f>
        <v>0</v>
      </c>
    </row>
    <row r="168" s="5" customFormat="1" ht="15.6" customHeight="1" spans="1:7">
      <c r="A168" s="78">
        <v>5</v>
      </c>
      <c r="B168" s="79" t="s">
        <v>246</v>
      </c>
      <c r="C168" s="173"/>
      <c r="D168" s="92"/>
      <c r="E168" s="88"/>
      <c r="F168" s="88"/>
      <c r="G168" s="89"/>
    </row>
    <row r="169" s="5" customFormat="1" ht="15.6" customHeight="1" spans="1:7">
      <c r="A169" s="78"/>
      <c r="B169" s="85" t="s">
        <v>247</v>
      </c>
      <c r="C169" s="173" t="s">
        <v>245</v>
      </c>
      <c r="D169" s="92">
        <v>11</v>
      </c>
      <c r="E169" s="88">
        <v>1.902</v>
      </c>
      <c r="F169" s="88">
        <f>+E169*D169</f>
        <v>20.922</v>
      </c>
      <c r="G169" s="89"/>
    </row>
    <row r="170" s="5" customFormat="1" ht="15.6" customHeight="1" spans="1:8">
      <c r="A170" s="78"/>
      <c r="B170" s="85" t="s">
        <v>248</v>
      </c>
      <c r="C170" s="173" t="s">
        <v>245</v>
      </c>
      <c r="D170" s="92"/>
      <c r="E170" s="88"/>
      <c r="F170" s="88"/>
      <c r="G170" s="89"/>
      <c r="H170" s="174"/>
    </row>
    <row r="171" s="5" customFormat="1" ht="15.6" customHeight="1" spans="1:7">
      <c r="A171" s="78"/>
      <c r="B171" s="85" t="s">
        <v>249</v>
      </c>
      <c r="C171" s="173" t="s">
        <v>250</v>
      </c>
      <c r="D171" s="92"/>
      <c r="E171" s="88"/>
      <c r="F171" s="88"/>
      <c r="G171" s="89"/>
    </row>
    <row r="172" s="5" customFormat="1" ht="15.6" customHeight="1" spans="1:7">
      <c r="A172" s="78"/>
      <c r="B172" s="85"/>
      <c r="C172" s="173"/>
      <c r="D172" s="92"/>
      <c r="E172" s="88"/>
      <c r="F172" s="88"/>
      <c r="G172" s="89">
        <f>SUM(F169:F171)</f>
        <v>20.922</v>
      </c>
    </row>
    <row r="173" s="5" customFormat="1" ht="15.6" customHeight="1" spans="1:7">
      <c r="A173" s="111"/>
      <c r="B173" s="97"/>
      <c r="C173" s="165"/>
      <c r="D173" s="112"/>
      <c r="E173" s="141"/>
      <c r="F173" s="105"/>
      <c r="G173" s="101"/>
    </row>
    <row r="174" s="5" customFormat="1" ht="15.6" customHeight="1" spans="1:7">
      <c r="A174" s="143" t="s">
        <v>142</v>
      </c>
      <c r="B174" s="144" t="s">
        <v>251</v>
      </c>
      <c r="C174" s="175"/>
      <c r="D174" s="175"/>
      <c r="E174" s="176"/>
      <c r="F174" s="160"/>
      <c r="G174" s="119">
        <f>SUM(G155:G173)</f>
        <v>32.442</v>
      </c>
    </row>
    <row r="175" spans="2:7">
      <c r="B175" s="177"/>
      <c r="E175" s="178"/>
      <c r="F175" s="178"/>
      <c r="G175" s="178"/>
    </row>
    <row r="176" spans="2:7">
      <c r="B176" s="177"/>
      <c r="E176" s="178"/>
      <c r="F176" s="178"/>
      <c r="G176" s="178"/>
    </row>
    <row r="177" spans="2:7">
      <c r="B177" s="177"/>
      <c r="E177" s="178"/>
      <c r="F177" s="178"/>
      <c r="G177" s="178"/>
    </row>
    <row r="178" spans="2:7">
      <c r="B178" s="177"/>
      <c r="E178" s="178"/>
      <c r="F178" s="178"/>
      <c r="G178" s="178"/>
    </row>
    <row r="179" spans="2:7">
      <c r="B179" s="177"/>
      <c r="E179" s="178"/>
      <c r="F179" s="178"/>
      <c r="G179" s="178"/>
    </row>
    <row r="180" spans="2:7">
      <c r="B180" s="177"/>
      <c r="E180" s="178"/>
      <c r="F180" s="178"/>
      <c r="G180" s="178"/>
    </row>
    <row r="181" spans="2:7">
      <c r="B181" s="177"/>
      <c r="E181" s="178"/>
      <c r="F181" s="178"/>
      <c r="G181" s="178"/>
    </row>
    <row r="182" spans="2:7">
      <c r="B182" s="177"/>
      <c r="E182" s="178"/>
      <c r="F182" s="178"/>
      <c r="G182" s="178"/>
    </row>
    <row r="183" spans="2:7">
      <c r="B183" s="177"/>
      <c r="E183" s="178"/>
      <c r="F183" s="178"/>
      <c r="G183" s="178"/>
    </row>
    <row r="184" spans="2:7">
      <c r="B184" s="177"/>
      <c r="E184" s="178"/>
      <c r="F184" s="178"/>
      <c r="G184" s="178"/>
    </row>
    <row r="185" spans="2:7">
      <c r="B185" s="177"/>
      <c r="E185" s="178"/>
      <c r="F185" s="178"/>
      <c r="G185" s="178"/>
    </row>
    <row r="186" spans="2:7">
      <c r="B186" s="177"/>
      <c r="E186" s="178"/>
      <c r="F186" s="178"/>
      <c r="G186" s="178"/>
    </row>
  </sheetData>
  <mergeCells count="6">
    <mergeCell ref="D6:E6"/>
    <mergeCell ref="F6:G6"/>
    <mergeCell ref="D7:E7"/>
    <mergeCell ref="F7:G7"/>
    <mergeCell ref="B13:C13"/>
    <mergeCell ref="B149:D149"/>
  </mergeCells>
  <pageMargins left="0.7" right="0.25" top="0.2" bottom="0.7" header="0.2" footer="0.3"/>
  <pageSetup paperSize="9" scale="67" fitToHeight="0" orientation="portrait" useFirstPageNumber="1"/>
  <headerFooter>
    <oddFooter>&amp;L&amp;"Arial,Bold"&amp;10Tomy Confidential&amp;C&amp;"Arial,Regular"&amp;10&amp;D&amp;R&amp;"Arial,Regular"&amp;10Page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5"/>
  <sheetViews>
    <sheetView workbookViewId="0">
      <selection activeCell="B30" sqref="B30"/>
    </sheetView>
  </sheetViews>
  <sheetFormatPr defaultColWidth="9" defaultRowHeight="15.6" customHeight="1" outlineLevelRow="4"/>
  <cols>
    <col min="1" max="16384" width="9" style="1" customWidth="1"/>
  </cols>
  <sheetData>
    <row r="1" customHeight="1" spans="1:1">
      <c r="A1" s="2" t="s">
        <v>252</v>
      </c>
    </row>
    <row r="2" customHeight="1" spans="1:1">
      <c r="A2" s="1" t="s">
        <v>253</v>
      </c>
    </row>
    <row r="3" customHeight="1" spans="1:1">
      <c r="A3" s="1" t="s">
        <v>254</v>
      </c>
    </row>
    <row r="4" customHeight="1" spans="1:1">
      <c r="A4" s="1" t="s">
        <v>255</v>
      </c>
    </row>
    <row r="5" customHeight="1" spans="1:1">
      <c r="A5" s="1" t="s">
        <v>256</v>
      </c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Tomy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Vendor Quotation</vt:lpstr>
      <vt:lpstr>Body Cost Breakdown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Yip, Canice</dc:creator>
  <cp:lastModifiedBy>张宇婕</cp:lastModifiedBy>
  <dcterms:created xsi:type="dcterms:W3CDTF">2013-10-24T08:07:00Z</dcterms:created>
  <cp:lastPrinted>2021-01-05T03:59:00Z</cp:lastPrinted>
  <dcterms:modified xsi:type="dcterms:W3CDTF">2026-05-25T06:17:16Z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288BDB5D967640A29A0752DA7EF524CB_12</vt:lpwstr>
  </property>
  <property fmtid="{D5CDD505-2E9C-101B-9397-08002B2CF9AE}" pid="3" name="KSOProductBuildVer">
    <vt:lpwstr>2052-12.1.0.19302</vt:lpwstr>
  </property>
</Properties>
</file>
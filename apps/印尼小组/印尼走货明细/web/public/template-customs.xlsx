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5898b5453446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类别金额" sheetId="13" r:id="R4c8553e2d8e34178"/>
    <x:sheet xmlns:r="http://schemas.openxmlformats.org/officeDocument/2006/relationships" name="WHSU6439229" sheetId="3" r:id="R292fc062952a4325"/>
    <x:sheet xmlns:r="http://schemas.openxmlformats.org/officeDocument/2006/relationships" name="全球合同" sheetId="15" r:id="Rb084b4670d1f4fa2"/>
    <x:sheet xmlns:r="http://schemas.openxmlformats.org/officeDocument/2006/relationships" name="全球发票" sheetId="14" r:id="Re11b7ab3b0464555"/>
    <x:sheet xmlns:r="http://schemas.openxmlformats.org/officeDocument/2006/relationships" name="印尼合同" sheetId="25" r:id="R5167fd3fbad64b7a"/>
    <x:sheet xmlns:r="http://schemas.openxmlformats.org/officeDocument/2006/relationships" name="印尼发票" sheetId="26" r:id="R35e9ac507e4e4249"/>
    <x:sheet xmlns:r="http://schemas.openxmlformats.org/officeDocument/2006/relationships" name="装箱单" sheetId="16" r:id="R1e81370d58e348f5"/>
    <x:sheet xmlns:r="http://schemas.openxmlformats.org/officeDocument/2006/relationships" name="商品汇总表" sheetId="17" r:id="R2d5bf1ca20924284"/>
    <x:sheet xmlns:r="http://schemas.openxmlformats.org/officeDocument/2006/relationships" name="发票" sheetId="18" r:id="Rc3a39c738cfa4fca"/>
    <x:sheet xmlns:r="http://schemas.openxmlformats.org/officeDocument/2006/relationships" name="销售合同" sheetId="19" r:id="R1713c64de73d43af"/>
    <x:sheet xmlns:r="http://schemas.openxmlformats.org/officeDocument/2006/relationships" name="装箱单 (2)" sheetId="20" r:id="Re587e1d20d8145b8"/>
    <x:sheet xmlns:r="http://schemas.openxmlformats.org/officeDocument/2006/relationships" name="草稿大单-1" sheetId="21" r:id="Re633c15ddecf454b"/>
    <x:sheet xmlns:r="http://schemas.openxmlformats.org/officeDocument/2006/relationships" name="司机资料" sheetId="22" r:id="R9d612c36943a4840"/>
    <x:sheet xmlns:r="http://schemas.openxmlformats.org/officeDocument/2006/relationships" name="单位对照" sheetId="24" r:id="R04c18ba6b58f4fbc"/>
    <x:sheet xmlns:r="http://schemas.openxmlformats.org/officeDocument/2006/relationships" name="WpsReserved_CellImgList" sheetId="5" r:id="Rbec60939a33242a5"/>
  </x:sheets>
  <x:definedNames>
    <x:definedName name="AA">#REF!</x:definedName>
    <x:definedName name="JD">#REF!</x:definedName>
    <x:definedName name="一般贸易">#REF!</x:definedName>
    <x:definedName name="AccessDatabase" hidden="1">"C:\My Documents\Dekalb Seed.mdb"</x:definedName>
    <x:definedName name="addresses">#REF!</x:definedName>
    <x:definedName name="AA" localSheetId="7">#REF!</x:definedName>
    <x:definedName name="一般贸易" localSheetId="7">#REF!</x:definedName>
    <x:definedName name="AA" localSheetId="8">#REF!</x:definedName>
    <x:definedName name="一般贸易" localSheetId="8">#REF!</x:definedName>
    <x:definedName name="AA" localSheetId="9">#REF!</x:definedName>
    <x:definedName name="一般贸易" localSheetId="9">#REF!</x:definedName>
    <x:definedName name="AA" localSheetId="10">#REF!</x:definedName>
    <x:definedName name="一般贸易" localSheetId="10">#REF!</x:definedName>
    <x:definedName name="AA" localSheetId="11">#REF!</x:definedName>
    <x:definedName name="一般贸易" localSheetId="11">#REF!</x:definedName>
    <x:definedName name="AA" localSheetId="12">#REF!</x:definedName>
    <x:definedName name="一般贸易" localSheetId="12">#REF!</x:definedName>
  </x:definedNames>
</x:workbook>
</file>

<file path=xl/comments1.xml><?xml version="1.0" encoding="utf-8"?>
<x:comments xmlns:x="http://schemas.openxmlformats.org/spreadsheetml/2006/main">
  <x:authors>
    <x:author>87050</x:author>
  </x:authors>
  <x:commentList>
    <x:comment ref="M3" authorId="0">
      <x:text>
        <x:r>
          <x:t>单位可以选择：
PCE(个)
KG（公斤）
Meter（米）
Kilometer（千米）
Set(套)
如使用其他单位，需提前咨询印尼公司</x:t>
        </x:r>
      </x:text>
    </x:comment>
  </x:commentList>
</x:comments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<x:sst xmlns:x="http://schemas.openxmlformats.org/spreadsheetml/2006/main">
  <x:si>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序号</x:t>
  </x:si>
  <x:si>
    <x:t xml:space="preserve">类别</x:t>
  </x:si>
  <x:si>
    <x:t xml:space="preserve">金额</x:t>
  </x:si>
  <x:si>
    <x:t xml:space="preserve">原料</x:t>
  </x:si>
  <x:si>
    <x:t xml:space="preserve">色粉</x:t>
  </x:si>
  <x:si>
    <x:t xml:space="preserve">化学品-油漆</x:t>
  </x:si>
  <x:si>
    <x:t xml:space="preserve">化学品-其它</x:t>
  </x:si>
  <x:si>
    <x:t xml:space="preserve">电子类</x:t>
  </x:si>
  <x:si>
    <x:t xml:space="preserve">机器设备</x:t>
  </x:si>
  <x:si>
    <x:t xml:space="preserve">工具</x:t>
  </x:si>
  <x:si>
    <x:t xml:space="preserve">五金</x:t>
  </x:si>
  <x:si>
    <x:t xml:space="preserve">吸塑</x:t>
  </x:si>
  <x:si>
    <x:t xml:space="preserve">利宝说明书</x:t>
  </x:si>
  <x:si>
    <x:t xml:space="preserve">彩盒/彩咭</x:t>
  </x:si>
  <x:si>
    <x:t xml:space="preserve">纸箱类</x:t>
  </x:si>
  <x:si>
    <x:t xml:space="preserve">车缝类</x:t>
  </x:si>
  <x:si>
    <x:t xml:space="preserve">其他类</x:t>
  </x:si>
  <x:si>
    <x:t xml:space="preserve">大陆送半成品</x:t>
  </x:si>
  <x:si>
    <x:t xml:space="preserve">汇率</x:t>
  </x:si>
  <x:si>
    <x:t xml:space="preserve">序号    serial number</x:t>
  </x:si>
  <x:si>
    <x:t xml:space="preserve">中国HSCODE
（China）</x:t>
  </x:si>
  <x:si>
    <x:t xml:space="preserve">印尼HS CODE 
(Indonesia)</x:t>
  </x:si>
  <x:si>
    <x:t xml:space="preserve">货号
Item No.</x:t>
  </x:si>
  <x:si>
    <x:t xml:space="preserve">套公式名称栏</x:t>
  </x:si>
  <x:si>
    <x:t xml:space="preserve">产品中文名称
Chinese name of the product</x:t>
  </x:si>
  <x:si>
    <x:t xml:space="preserve">产品英文名称
English name of the product</x:t>
  </x:si>
  <x:si>
    <x:t xml:space="preserve">规格
specification</x:t>
  </x:si>
  <x:si>
    <x:t xml:space="preserve">类别
kategori</x:t>
  </x:si>
  <x:si>
    <x:t xml:space="preserve">单位
Unit</x:t>
  </x:si>
  <x:si>
    <x:t xml:space="preserve">送货KG重量
Quantity</x:t>
  </x:si>
  <x:si>
    <x:t xml:space="preserve">送货数量
Product quantity</x:t>
  </x:si>
  <x:si>
    <x:t xml:space="preserve">采购单价（换成港币）
Purchase price</x:t>
  </x:si>
  <x:si>
    <x:t xml:space="preserve">采购金额Purchase Amount</x:t>
  </x:si>
  <x:si>
    <x:t xml:space="preserve">毛重总重
Total Gross weight（KGM）</x:t>
  </x:si>
  <x:si>
    <x:t xml:space="preserve">净重总重Total Net weight（KGM）</x:t>
  </x:si>
  <x:si>
    <x:t xml:space="preserve">立方数/每箱CBM/Per carton</x:t>
  </x:si>
  <x:si>
    <x:t xml:space="preserve">总立方数Total CBM</x:t>
  </x:si>
  <x:si>
    <x:t xml:space="preserve">图片
Picture</x:t>
  </x:si>
  <x:si>
    <x:t xml:space="preserve">产品用途
product use</x:t>
  </x:si>
  <x:si>
    <x:t xml:space="preserve">合同号码
Contract No.</x:t>
  </x:si>
  <x:si>
    <x:t xml:space="preserve">合同日期
Date of contract</x:t>
  </x:si>
  <x:si>
    <x:t xml:space="preserve">发票号
Invoice No.</x:t>
  </x:si>
  <x:si>
    <x:t xml:space="preserve">发票日期
Date of Invoice</x:t>
  </x:si>
  <x:si>
    <x:t xml:space="preserve">发票单价
Unit price on invoice</x:t>
  </x:si>
  <x:si>
    <x:t xml:space="preserve">金额
Invoice amount</x:t>
  </x:si>
  <x:si>
    <x:t xml:space="preserve">发票合计金额Invoice total amount</x:t>
  </x:si>
  <x:si>
    <x:t xml:space="preserve">柜号
Container No.</x:t>
  </x:si>
  <x:si>
    <x:t xml:space="preserve">走柜日期
Shipping date</x:t>
  </x:si>
  <x:si>
    <x:t xml:space="preserve">提单号
Bl No.</x:t>
  </x:si>
  <x:si>
    <x:t xml:space="preserve">预计到港日期
ETA PORT</x:t>
  </x:si>
  <x:si>
    <x:t xml:space="preserve">实际到厂日期 Actual arrival date</x:t>
  </x:si>
  <x:si>
    <x:t xml:space="preserve">Vessel Name/Voyage No.</x:t>
  </x:si>
  <x:si>
    <x:t xml:space="preserve">总集装箱运费金额（中国运费） Total Container Freight Amount (China's Freight)</x:t>
  </x:si>
  <x:si>
    <x:t xml:space="preserve">货运代理运输费用 Forwarder Transportation Costs (Indonesia Freight)</x:t>
  </x:si>
  <x:si>
    <x:t xml:space="preserve">Actual freight for product</x:t>
  </x:si>
  <x:si>
    <x:t xml:space="preserve">供应商
Supplier</x:t>
  </x:si>
  <x:si>
    <x:t xml:space="preserve">采购单日期
Date of purchase order</x:t>
  </x:si>
  <x:si>
    <x:t xml:space="preserve">采购单号
PO No.</x:t>
  </x:si>
  <x:si>
    <x:t xml:space="preserve">采购单价
Purchase price</x:t>
  </x:si>
  <x:si>
    <x:t xml:space="preserve">采购总额 Total Amount</x:t>
  </x:si>
  <x:si>
    <x:t xml:space="preserve">报关出口公司</x:t>
  </x:si>
  <x:si>
    <x:t xml:space="preserve">提单抬头</x:t>
  </x:si>
  <x:si>
    <x:t xml:space="preserve">箱数
Carton No.</x:t>
  </x:si>
  <x:si>
    <x:t xml:space="preserve">长
Length</x:t>
  </x:si>
  <x:si>
    <x:t xml:space="preserve">宽
Width</x:t>
  </x:si>
  <x:si>
    <x:t xml:space="preserve">高
Height</x:t>
  </x:si>
  <x:si>
    <x:t xml:space="preserve">物料编码</x:t>
  </x:si>
  <x:si>
    <x:t xml:space="preserve">使用部门</x:t>
  </x:si>
  <x:si>
    <x:t xml:space="preserve">每箱数量</x:t>
  </x:si>
  <x:si>
    <x:t xml:space="preserve">每箱重量</x:t>
  </x:si>
  <x:si>
    <x:t xml:space="preserve">单个毛重</x:t>
  </x:si>
  <x:si>
    <x:t xml:space="preserve">单个净重</x:t>
  </x:si>
  <x:si>
    <x:t xml:space="preserve">卡板</x:t>
  </x:si>
  <x:si>
    <x:t xml:space="preserve">華登(全球)有限公司</x:t>
  </x:si>
  <x:si>
    <x:t xml:space="preserve"> Royal Regent (World) Co. Limited</x:t>
  </x:si>
  <x:si>
    <x:t xml:space="preserve">购销合同
Purchase Contract</x:t>
  </x:si>
  <x:si>
    <x:t xml:space="preserve">买方:                                                                      The Buyers:</x:t>
  </x:si>
  <x:si>
    <x:t xml:space="preserve">合同编码：            No.:</x:t>
  </x:si>
  <x:si>
    <x:t xml:space="preserve">RWCRRM260206</x:t>
  </x:si>
  <x:si>
    <x:t xml:space="preserve">Royal Regent (World) Co. Limited</x:t>
  </x:si>
  <x:si>
    <x:t xml:space="preserve">九龍尖沙咀科學館道1號康宏廣場南座12樓07-08室</x:t>
  </x:si>
  <x:si>
    <x:t xml:space="preserve">Unit07-08,12/F,Greenfield Tower,Concordia Plaza,No.1 Science Museum Road,Tsim Sha Tsui, Kln.,H.K.                                                                                                                                                          
TEL: 00852-2425 0720   FAX:2424 3407  
EMAIL: chloe@royalregenthk.com   Attention: Ms Tang</x:t>
  </x:si>
  <x:si>
    <x:t xml:space="preserve">签定日期：           Date:</x:t>
  </x:si>
  <x:si>
    <x:t xml:space="preserve">卖方:                                                                        The Sellers:</x:t>
  </x:si>
  <x:si>
    <x:t xml:space="preserve">深圳市华胜益出口贸易有限公司</x:t>
  </x:si>
  <x:si>
    <x:t xml:space="preserve">SHENZHEN  HUASHENGYI  EXPORT  TRADING  LIMITED</x:t>
  </x:si>
  <x:si>
    <x:t xml:space="preserve"> </x:t>
  </x:si>
  <x:si>
    <x:t xml:space="preserve">深圳市龙华区大浪街道龙胜社区龙胜综合服务大楼602                                                                                                                                                                                                                               Room 602, Longsheng Comprehensive Service Building, Longsheng Community, Dalang Street, Longhua District, Shenzhen City,Postal Code518083, China                                                                                                                                         
TEL: 0755-27745367     Email: liuyan@hanson2.com    ATTN: Peng yuqiang</x:t>
  </x:si>
  <x:si>
    <x:t xml:space="preserve">签定地点：       Signed at:</x:t>
  </x:si>
  <x:si>
    <x:t xml:space="preserve">SHENZHEN</x:t>
  </x:si>
  <x:si>
    <x:t xml:space="preserve">The Consignee:</x:t>
  </x:si>
  <x:si>
    <x:t xml:space="preserve">PT.ROYAL REGENT MANUFACTURING</x:t>
  </x:si>
  <x:si>
    <x:t xml:space="preserve">JL. RAYA NGAWI CARUBAN KM 4 DUSUN CABEAN RT. 003 RW.001. KARANGTENGAH PRANDON, NGAWI KAB.NGAWI. JAWA TIMUR</x:t>
  </x:si>
  <x:si>
    <x:t xml:space="preserve">Tel.:+6 813-2810-4112    Attention: Ibun &amp; Dita</x:t>
  </x:si>
  <x:si>
    <x:t xml:space="preserve">Email:finance@royalregent.co.id;accounting2@royalregent.co.id;exim.rrm@royalregentid.com</x:t>
  </x:si>
  <x:si>
    <x:t xml:space="preserve">经甲乙双方确认，根据下列条款订立本合同：</x:t>
  </x:si>
  <x:si>
    <x:t xml:space="preserve">The undersigned Sellers and Buyers have confirmed this contrasct in accordance with theterms and conditions stipulated below:</x:t>
  </x:si>
  <x:si>
    <x:t xml:space="preserve">型 号                                            Item No.</x:t>
  </x:si>
  <x:si>
    <x:t xml:space="preserve">品名描述                                                                                                                                                                         Names and Descriptions</x:t>
  </x:si>
  <x:si>
    <x:t xml:space="preserve">數量               Quantities</x:t>
  </x:si>
  <x:si>
    <x:t xml:space="preserve">單位                       Unit</x:t>
  </x:si>
  <x:si>
    <x:t xml:space="preserve">單價                   Unit Price</x:t>
  </x:si>
  <x:si>
    <x:t xml:space="preserve">金額                           Amount</x:t>
  </x:si>
  <x:si>
    <x:t xml:space="preserve">備註</x:t>
  </x:si>
  <x:si>
    <x:t xml:space="preserve">FOB IDSRG,Semarang</x:t>
  </x:si>
  <x:si>
    <x:t xml:space="preserve">交貨日期:</x:t>
  </x:si>
  <x:si>
    <x:t xml:space="preserve">BEFORE August.28,2026</x:t>
  </x:si>
  <x:si>
    <x:t xml:space="preserve">1.成交价格术语：Terms:</x:t>
  </x:si>
  <x:si>
    <x:t xml:space="preserve">2.运输起讫：</x:t>
  </x:si>
  <x:si>
    <x:t xml:space="preserve">FROM SHENZHEN,CHINA TO ID (从中国深圳到印尼)</x:t>
  </x:si>
  <x:si>
    <x:t xml:space="preserve">3.装运期：                               Shipment date:</x:t>
  </x:si>
  <x:si>
    <x:t xml:space="preserve">BEFORE September.3,2026</x:t>
  </x:si>
  <x:si>
    <x:t xml:space="preserve">运输方式：   
Transport:</x:t>
  </x:si>
  <x:si>
    <x:t xml:space="preserve">BY SEA</x:t>
  </x:si>
  <x:si>
    <x:t xml:space="preserve">4.付款条件：                                   Terms of payment:</x:t>
  </x:si>
  <x:si>
    <x:t xml:space="preserve">T/T</x:t>
  </x:si>
  <x:si>
    <x:t xml:space="preserve">5.本合同共 2 份，自双方代表签字（盖章）之日生效。</x:t>
  </x:si>
  <x:si>
    <x:t xml:space="preserve">This contract is in TWO copies, effective since being signed / sealed by both parties.</x:t>
  </x:si>
  <x:si>
    <x:t xml:space="preserve">买方:                          
The buyers:</x:t>
  </x:si>
  <x:si>
    <x:t xml:space="preserve">華登(全球)有限公司
Royal Regent (World) Co. Limited</x:t>
  </x:si>
  <x:si>
    <x:t xml:space="preserve">卖方:                          
The Sellers:</x:t>
  </x:si>
  <x:si>
    <x:t xml:space="preserve">深圳市华胜益出口贸易有限公司                                                               
SHENZHEN  HUASHENGYI  EXPORT  TRADING  LIMITED</x:t>
  </x:si>
  <x:si>
    <x:t xml:space="preserve">签字：                       
Authorized signiture:</x:t>
  </x:si>
  <x:si>
    <x:t xml:space="preserve">签字：                
Authorized signiture:</x:t>
  </x:si>
  <x:si>
    <x:t xml:space="preserve">RWCRRM260217</x:t>
  </x:si>
  <x:si>
    <x:t xml:space="preserve">惠州市骏盈塑胶制品有限公司</x:t>
  </x:si>
  <x:si>
    <x:t xml:space="preserve">Huizhou Junying Plastic Products Co., Ltd</x:t>
  </x:si>
  <x:si>
    <x:t xml:space="preserve">惠州市惠阳区新圩镇红田村黄泥塘村民小组兆威塑胶五金(惠州)有限公司D栋二区
Zone 2.building D.Zhaowei plastic hardware (Huizhou) Co., LTD..Huangnitang villager group,Hongtian village,Xinxu Town,Huiyang District, Huizhou
Tel.:13352785822   Email: sales@foam-toy.com   Attention:Mr Bi</x:t>
  </x:si>
  <x:si>
    <x:t xml:space="preserve">HUIZHOU</x:t>
  </x:si>
  <x:si>
    <x:t xml:space="preserve">CIF IDSRG,Semarang</x:t>
  </x:si>
  <x:si>
    <x:t xml:space="preserve">惠州市骏盈塑胶制品有限公司  
Huizhou Junying Plastic Products Co., Ltd</x:t>
  </x:si>
  <x:si>
    <x:t xml:space="preserve">RWCRRM260222</x:t>
  </x:si>
  <x:si>
    <x:t xml:space="preserve">东莞市林丰橡胶制品有限公司   </x:t>
  </x:si>
  <x:si>
    <x:t xml:space="preserve">Dongguan Linfeng Rubber Products Co., Ltd.</x:t>
  </x:si>
  <x:si>
    <x:t xml:space="preserve">东莞市南城区水濂景观路彭洞恒浩峰工业园3栋3楼 
3rd Floor, Building 3, Henghaofeng Industrial Park, Pengdong, Shuilian Landscape Road, Nancheng District, Dongguan
Tel.:13423242655   Email: barryfung@163.com     Attention:Mrs Wu</x:t>
  </x:si>
  <x:si>
    <x:t xml:space="preserve">DONGGUAN</x:t>
  </x:si>
  <x:si>
    <x:t xml:space="preserve">东莞市林丰橡胶制品有限公司   
Dongguan Linfeng Rubber Products Co., Ltd.</x:t>
  </x:si>
  <x:si>
    <x:t xml:space="preserve">Unit07-08,12/F,Greenfield Tower,Concordia Plaza,No.1 Science Museum Road,Tsim Sha Tsui, Kln.,H.K.                                                                                   </x:t>
  </x:si>
  <x:si>
    <x:t xml:space="preserve">TEL: 2425 0720   FAX:2424 3407   EMAIL: chloe@royalregenthk.com                                                                                                             </x:t>
  </x:si>
  <x:si>
    <x:t xml:space="preserve">商 业 发 票</x:t>
  </x:si>
  <x:si>
    <x:t xml:space="preserve">COMMERCIAL INVOICE</x:t>
  </x:si>
  <x:si>
    <x:t xml:space="preserve">买方:                         </x:t>
  </x:si>
  <x:si>
    <x:t xml:space="preserve">The Buyers: M/S.</x:t>
  </x:si>
  <x:si>
    <x:t xml:space="preserve">号码                         No.</x:t>
  </x:si>
  <x:si>
    <x:t xml:space="preserve">RW202600206</x:t>
  </x:si>
  <x:si>
    <x:t xml:space="preserve">Unit07-08,12/F,Greenfield Tower,Concordia Plaza,No.1 Science Museum Road,Tsim Sha Tsui, Kln.,H.K.                                                                                                                                                          
TEL: 2425 0720   FAX:2424 3407  
EMAIL: chloe@royalregenthk.com   Attention: Ms Tang</x:t>
  </x:si>
  <x:si>
    <x:t xml:space="preserve">日期
Date</x:t>
  </x:si>
  <x:si>
    <x:t xml:space="preserve">Consignee：M/S.</x:t>
  </x:si>
  <x:si>
    <x:t xml:space="preserve">合同号
Contract No.</x:t>
  </x:si>
  <x:si>
    <x:t xml:space="preserve">运输方式：</x:t>
  </x:si>
  <x:si>
    <x:t xml:space="preserve">BY  SEA</x:t>
  </x:si>
  <x:si>
    <x:t xml:space="preserve">Tax ID: 0614 9673 8803 6000</x:t>
  </x:si>
  <x:si>
    <x:t xml:space="preserve">Tel.:+6 813-2810-4112</x:t>
  </x:si>
  <x:si>
    <x:t xml:space="preserve">Attention: Ibun &amp; Dita</x:t>
  </x:si>
  <x:si>
    <x:t xml:space="preserve">卖方:</x:t>
  </x:si>
  <x:si>
    <x:t xml:space="preserve">The Sellers: M/S.</x:t>
  </x:si>
  <x:si>
    <x:t xml:space="preserve">深圳市龙华区大浪街道龙胜社区龙胜综合服务大楼602                                                                                                                                                                                                                               Room 602, Longsheng Comprehensive Service Building, Longsheng Community, Dalang Street, Longhua District, Shenzhen City,Postal Code518083, China                                                                                                                                         
TEL: 0755-27745367       Email: liuyan@hanson2.com    ATTN: Peng yuqiang</x:t>
  </x:si>
  <x:si>
    <x:t xml:space="preserve">装运口岸
From：</x:t>
  </x:si>
  <x:si>
    <x:t xml:space="preserve">SHENZHEN,CHINA(中国深圳)</x:t>
  </x:si>
  <x:si>
    <x:t xml:space="preserve">  目的地
    To：</x:t>
  </x:si>
  <x:si>
    <x:t xml:space="preserve">Indonesia(印度尼西亚)</x:t>
  </x:si>
  <x:si>
    <x:t xml:space="preserve">型 号
Item No.</x:t>
  </x:si>
  <x:si>
    <x:t xml:space="preserve">品名描述
Names and Descriptions</x:t>
  </x:si>
  <x:si>
    <x:t xml:space="preserve">数 量
Quantities</x:t>
  </x:si>
  <x:si>
    <x:t xml:space="preserve">HS Code</x:t>
  </x:si>
  <x:si>
    <x:t xml:space="preserve">单     价
Unit Price</x:t>
  </x:si>
  <x:si>
    <x:t xml:space="preserve">总    值
Amount</x:t>
  </x:si>
  <x:si>
    <x:t xml:space="preserve">TOTAL:  </x:t>
  </x:si>
  <x:si>
    <x:t xml:space="preserve">总值大写
Total Amount:</x:t>
  </x:si>
  <x:si>
    <x:t xml:space="preserve">Beneficiary name :Shenzhen Huashengyi Export Trading Limited
Account number :
15668277360001(USD)
15353466270052 (RMB)
15602776290037 (HKD)
Beneficiary Bank: Ping An Bank Co., Ltd
Swift code : SZDBCNBSXXX</x:t>
  </x:si>
  <x:si>
    <x:t xml:space="preserve">Beneficiary：SHENZHEN  HUASHENGYI  EXPORT  TRADING  LIMITED</x:t>
  </x:si>
  <x:si>
    <x:t xml:space="preserve">Add: Room 602, Longsheng Comprehensive Service Building, Longsheng Community, Dalang Street, Longhua District, Shenzhen City</x:t>
  </x:si>
  <x:si>
    <x:t xml:space="preserve">RW202600217</x:t>
  </x:si>
  <x:si>
    <x:t xml:space="preserve">RW202600222</x:t>
  </x:si>
  <x:si>
    <x:t xml:space="preserve">东莞市南城区水濂景观路彭洞恒浩峰工业园3栋3楼 
3rd Floor, Building 3, Henghaofeng Industrial Park, Pengdong, Shuilian Landscape Road, Nancheng District, Dongguan
Tel.:13423242655   Email:  barryfung@163.com    Attention:Mrs Wu</x:t>
  </x:si>
  <x:si>
    <x:t xml:space="preserve">JL. RAYA NGAWI CARUBAN KM 4 DUSUN CABEAN RT. 003 RW.001. KARANGTENGAH PRANDON, NGAWI KAB.NGAWI. JAWA TIMUR
Tel.:+6 813-2810-4112  Email:finance@royalregent.co.id;accounting2@royalregent.co.id;royalregentmanufacturing.pt@gmail.com Attention:Ibun &amp; Dita</x:t>
  </x:si>
  <x:si>
    <x:t xml:space="preserve">合同编码：              No.:</x:t>
  </x:si>
  <x:si>
    <x:t xml:space="preserve">RY260044</x:t>
  </x:si>
  <x:si>
    <x:t xml:space="preserve">Email:finance@royalregent.co.id;accounting2@royalregent.co.id;royalregentmanufacturing.pt@gmail.com</x:t>
  </x:si>
  <x:si>
    <x:t xml:space="preserve">签定日期：             Date:</x:t>
  </x:si>
  <x:si>
    <x:t xml:space="preserve">东莞市雅洛轩进出口贸易有限公司</x:t>
  </x:si>
  <x:si>
    <x:t xml:space="preserve">Dongguan Yaluo Xuan import and export trading Co., LTD</x:t>
  </x:si>
  <x:si>
    <x:t xml:space="preserve">广东省东莞市塘厦镇塘厦大道北562号
No. 562 Tangxia Avenue North, Tangxia Town, Dongguan City, Guangdong Province
TEL:189282777188    Email:383795466qq.com     Attention:Mr Liu</x:t>
  </x:si>
  <x:si>
    <x:t xml:space="preserve">签定地点：           Signed at:</x:t>
  </x:si>
  <x:si>
    <x:t xml:space="preserve">运输方式：   Transport:</x:t>
  </x:si>
  <x:si>
    <x:t xml:space="preserve">买方:                          The buyers:</x:t>
  </x:si>
  <x:si>
    <x:t xml:space="preserve">卖方:                          The Sellers:</x:t>
  </x:si>
  <x:si>
    <x:t xml:space="preserve">东莞市雅洛轩进出口贸易有限公司
Dongguan Yaluo Xuan import and export trading Co., LTD</x:t>
  </x:si>
  <x:si>
    <x:t xml:space="preserve">签字：                       Authorized signiture:</x:t>
  </x:si>
  <x:si>
    <x:t xml:space="preserve">签字：                Authorized signiture:</x:t>
  </x:si>
  <x:si>
    <x:t xml:space="preserve">RY260045</x:t>
  </x:si>
  <x:si>
    <x:t xml:space="preserve">致：</x:t>
  </x:si>
  <x:si>
    <x:t xml:space="preserve">To：M/S.</x:t>
  </x:si>
  <x:si>
    <x:t xml:space="preserve">东莞市雅洛轩进出口贸易有限公司 
Dongguan Yaluo Xuan import and export trading Co., LTD</x:t>
  </x:si>
  <x:si>
    <x:t xml:space="preserve">RYI260044</x:t>
  </x:si>
  <x:si>
    <x:t xml:space="preserve">RYI260045</x:t>
  </x:si>
  <x:si>
    <x:t xml:space="preserve">Unit 07-08,12/F,Greenfield Tower,Concordia Plaza,No.1 Science Museum Road,Tsim Sha Tsui,Kowloon,Postal Code:999077,Hong Kong</x:t>
  </x:si>
  <x:si>
    <x:t xml:space="preserve"> PACKING LIST</x:t>
  </x:si>
  <x:si>
    <x:t xml:space="preserve">1 .Shipper:</x:t>
  </x:si>
  <x:si>
    <x:t xml:space="preserve">2. Packing List Number</x:t>
  </x:si>
  <x:si>
    <x:t xml:space="preserve">3. Page</x:t>
  </x:si>
  <x:si>
    <x:t xml:space="preserve">Royal Regent (World) Co. Limited
Unit 07-08,12/F,Greenfield Tower,Concordia Plaza,No.1 Science Museum Road,Tsim Sha Tsui,Kowloon,Postal Code:999077,Hong Kong</x:t>
  </x:si>
  <x:si>
    <x:t xml:space="preserve">4. Packing List Date</x:t>
  </x:si>
  <x:si>
    <x:t xml:space="preserve">TEL: 00852-2425 0720   FAX: 00852-2424 3407   </x:t>
  </x:si>
  <x:si>
    <x:t xml:space="preserve">5.PO#</x:t>
  </x:si>
  <x:si>
    <x:t xml:space="preserve">6. OF#</x:t>
  </x:si>
  <x:si>
    <x:t xml:space="preserve">EMAIL: chloe@royalregenthk.com </x:t>
  </x:si>
  <x:si>
    <x:t xml:space="preserve">Attention: Ms Tang</x:t>
  </x:si>
  <x:si>
    <x:t xml:space="preserve">7. Consignee:</x:t>
  </x:si>
  <x:si>
    <x:t xml:space="preserve">8. Container</x:t>
  </x:si>
  <x:si>
    <x:t xml:space="preserve">9. Seal Number</x:t>
  </x:si>
  <x:si>
    <x:t xml:space="preserve">WHSU7042278</x:t>
  </x:si>
  <x:si>
    <x:t xml:space="preserve">WHAC079825</x:t>
  </x:si>
  <x:si>
    <x:t xml:space="preserve">JL. RAYA NGAWI CARUBAN KM 4 DUSUN CABEAN RT. 003 RW.001.</x:t>
  </x:si>
  <x:si>
    <x:t xml:space="preserve">KARANGTENGAH PRANDON, NGAWI KAB.NGAWI. JAWA TIMUR</x:t>
  </x:si>
  <x:si>
    <x:t xml:space="preserve">序号      serial number</x:t>
  </x:si>
  <x:si>
    <x:t xml:space="preserve">毛重                Gross Weight Kgs</x:t>
  </x:si>
  <x:si>
    <x:t xml:space="preserve">净重            
Net Weight Kgs</x:t>
  </x:si>
  <x:si>
    <x:t xml:space="preserve">立方数                    CBM</x:t>
  </x:si>
  <x:si>
    <x:t xml:space="preserve">JL. RAYA NGAWI CARUBAN KM 4 DUSUN CABEAN RT. 003 RW.001. KARANGTENGAH PRANDON, NGAWI KAB.NGAWI. JAWA TIMUR
Tel.:+6 813-2810-4112  Email:finance@royalregent.co.id;accounting2@royalregent.co.id;royalregentmanufacturing.pt@gmail.com Attention: Ibun &amp; Dita</x:t>
  </x:si>
  <x:si>
    <x:t xml:space="preserve">No. 562 Tangxia Avenue North, Tangxia Town,</x:t>
  </x:si>
  <x:si>
    <x:t xml:space="preserve">Guangdong Province.CHINA.</x:t>
  </x:si>
  <x:si>
    <x:t xml:space="preserve">Email:383795466qq.com</x:t>
  </x:si>
  <x:si>
    <x:t xml:space="preserve">Tel.: 18928277188</x:t>
  </x:si>
  <x:si>
    <x:t xml:space="preserve">ATTN:Mr Liu</x:t>
  </x:si>
  <x:si>
    <x:t xml:space="preserve">商品编号</x:t>
  </x:si>
  <x:si>
    <x:t xml:space="preserve">商品名称</x:t>
  </x:si>
  <x:si>
    <x:t xml:space="preserve">货物品名及规格</x:t>
  </x:si>
  <x:si>
    <x:t xml:space="preserve">0.37KW减速电机</x:t>
  </x:si>
  <x:si>
    <x:t xml:space="preserve">1|0|电磁感应定律|工业生产用|台成|YSF-71MI-4</x:t>
  </x:si>
  <x:si>
    <x:t xml:space="preserve">0.55KW减速电机</x:t>
  </x:si>
  <x:si>
    <x:t xml:space="preserve">1|0|电磁感应定律|工业生产用|台成|YSF-80MI-4</x:t>
  </x:si>
  <x:si>
    <x:t xml:space="preserve">1 1/2"黑色婴儿魔术贴（勾面）</x:t>
  </x:si>
  <x:si>
    <x:t xml:space="preserve">0|0|织造方法：机织，起绒方式：绳绒|尼龙100%|幅宽：4-6</x:t>
  </x:si>
  <x:si>
    <x:t xml:space="preserve">1 1/2"黑色婴儿魔术贴（毛面）</x:t>
  </x:si>
  <x:si>
    <x:t xml:space="preserve">1"黑色涤纶带PANTONE Black C（100Y/卷）</x:t>
  </x:si>
  <x:si>
    <x:t xml:space="preserve">0|0|成卷|100%涤纶|</x:t>
  </x:si>
  <x:si>
    <x:t xml:space="preserve">1"绿色树叶花边3500C</x:t>
  </x:si>
  <x:si>
    <x:t xml:space="preserve">1.25"黑色半圆花边</x:t>
  </x:si>
  <x:si>
    <x:t xml:space="preserve">1.5"黑色魔术贴（勾）</x:t>
  </x:si>
  <x:si>
    <x:t xml:space="preserve">1.5"黑色魔术贴（毛）</x:t>
  </x:si>
  <x:si>
    <x:t xml:space="preserve">1.6CM白色背胶魔术贴</x:t>
  </x:si>
  <x:si>
    <x:t xml:space="preserve">1/2"黑色丝带PANTONE Black 6 C（50Y/卷）</x:t>
  </x:si>
  <x:si>
    <x:t xml:space="preserve">1/4"白色普通棉带（700Y/卷）</x:t>
  </x:si>
  <x:si>
    <x:t xml:space="preserve">1/4"白色丈根（100Y/卷）</x:t>
  </x:si>
  <x:si>
    <x:t xml:space="preserve">0|0|织造方法：机织，经编|涤纶100%|幅宽：63</x:t>
  </x:si>
  <x:si>
    <x:t xml:space="preserve">1/4"粉色丝带PANTONE 1905 C</x:t>
  </x:si>
  <x:si>
    <x:t xml:space="preserve">1/4"黑色涤纶带PANTONE Black 6 C（100Y/卷）</x:t>
  </x:si>
  <x:si>
    <x:t xml:space="preserve">1/4"黑色色丁丝带（25Y/卷）</x:t>
  </x:si>
  <x:si>
    <x:t xml:space="preserve">1/4"黑色丝带PANTONE Black 6 C（25Y/卷</x:t>
  </x:si>
  <x:si>
    <x:t xml:space="preserve">1/4"黑色丈根（100Y/卷）</x:t>
  </x:si>
  <x:si>
    <x:t xml:space="preserve">1/4"黄色色丁丝带PANTONE 144 C（25Y/卷）</x:t>
  </x:si>
  <x:si>
    <x:t xml:space="preserve">1/4"金色葱带（200Y/卷）</x:t>
  </x:si>
  <x:si>
    <x:t xml:space="preserve">1/4"蓝色丝带PANTONE 2146 C</x:t>
  </x:si>
  <x:si>
    <x:t xml:space="preserve">1/4"绿色丝带PANTONE 3500 C</x:t>
  </x:si>
  <x:si>
    <x:t xml:space="preserve">1/8"白色丈根</x:t>
  </x:si>
  <x:si>
    <x:t xml:space="preserve">1/8"黑色丈根（145Y/卷）</x:t>
  </x:si>
  <x:si>
    <x:t xml:space="preserve">0|0|成卷|涤纶+橡胶|</x:t>
  </x:si>
  <x:si>
    <x:t xml:space="preserve">2"白色魔术贴（勾）</x:t>
  </x:si>
  <x:si>
    <x:t xml:space="preserve">2"白色魔术贴（毛）</x:t>
  </x:si>
  <x:si>
    <x:t xml:space="preserve">2"黑色魔术贴（勾）</x:t>
  </x:si>
  <x:si>
    <x:t xml:space="preserve">2"黑色魔术贴（毛）</x:t>
  </x:si>
  <x:si>
    <x:t xml:space="preserve">2"黑色针织松紧</x:t>
  </x:si>
  <x:si>
    <x:t xml:space="preserve">2.6自动螺丝机</x:t>
  </x:si>
  <x:si>
    <x:t xml:space="preserve">1|0|工业装螺丝用|自动筛选出不合格的螺丝|ANSHUN|AS-900</x:t>
  </x:si>
  <x:si>
    <x:t xml:space="preserve">20155371-GEN发光飞碟彩卡</x:t>
  </x:si>
  <x:si>
    <x:t xml:space="preserve">0|0|瓦楞纸制|可折叠</x:t>
  </x:si>
  <x:si>
    <x:t xml:space="preserve">20156724 GEN 红色彩卡</x:t>
  </x:si>
  <x:si>
    <x:t xml:space="preserve">20156733 GML 黄色彩卡</x:t>
  </x:si>
  <x:si>
    <x:t xml:space="preserve">20156801 GEN 红色彩卡</x:t>
  </x:si>
  <x:si>
    <x:t xml:space="preserve">20156803 GEN彩卡</x:t>
  </x:si>
  <x:si>
    <x:t xml:space="preserve">20156882 GEN红色彩卡</x:t>
  </x:si>
  <x:si>
    <x:t xml:space="preserve">20156993 GML彩卡</x:t>
  </x:si>
  <x:si>
    <x:t xml:space="preserve">20157152-蓝色 GEN彩卡</x:t>
  </x:si>
  <x:si>
    <x:t xml:space="preserve">20157153-紫色 GEN彩卡</x:t>
  </x:si>
  <x:si>
    <x:t xml:space="preserve">20157154-红色 GEN彩卡</x:t>
  </x:si>
  <x:si>
    <x:t xml:space="preserve">20157155-黄色 GEN彩卡</x:t>
  </x:si>
  <x:si>
    <x:t xml:space="preserve">20157156-蓝色GEN彩卡</x:t>
  </x:si>
  <x:si>
    <x:t xml:space="preserve">20157157-红色GEN彩卡</x:t>
  </x:si>
  <x:si>
    <x:t xml:space="preserve">20157158-黄色GEN彩卡</x:t>
  </x:si>
  <x:si>
    <x:t xml:space="preserve">20159108 GEN蓝色彩卡</x:t>
  </x:si>
  <x:si>
    <x:t xml:space="preserve">20159109 GEN红色彩卡</x:t>
  </x:si>
  <x:si>
    <x:t xml:space="preserve">20159110 GEN黄色彩卡</x:t>
  </x:si>
  <x:si>
    <x:t xml:space="preserve">24v恒温水泵</x:t>
  </x:si>
  <x:si>
    <x:t xml:space="preserve">1|0|UV打印机|盛煌科|无型号</x:t>
  </x:si>
  <x:si>
    <x:t xml:space="preserve">24寸骷髅人头顶钻孔底模</x:t>
  </x:si>
  <x:si>
    <x:t xml:space="preserve">0|0|生产用|玩具塑胶件|无牌|无型号|塑胶制|使用型模,装配产品|成套</x:t>
  </x:si>
  <x:si>
    <x:t xml:space="preserve">24寸骷髅人左右钻孔底模</x:t>
  </x:si>
  <x:si>
    <x:t xml:space="preserve">24寸南瓜骷髅人头顶钻孔模</x:t>
  </x:si>
  <x:si>
    <x:t xml:space="preserve">2661胶头B1(210)</x:t>
  </x:si>
  <x:si>
    <x:t xml:space="preserve">0|0|装配玩具生产用|塑胶料制|无牌|无型号||</x:t>
  </x:si>
  <x:si>
    <x:t xml:space="preserve">3#2036C粉色尼龙拉链</x:t>
  </x:si>
  <x:si>
    <x:t xml:space="preserve">0|0|尼龙制|无品牌|无贱金属制咪牙齿</x:t>
  </x:si>
  <x:si>
    <x:t xml:space="preserve">3#2036C粉色塑胶拉链头</x:t>
  </x:si>
  <x:si>
    <x:t xml:space="preserve">0|0|塑胶制|无品牌|拉链头</x:t>
  </x:si>
  <x:si>
    <x:t xml:space="preserve">3.0自动螺丝机</x:t>
  </x:si>
  <x:si>
    <x:t xml:space="preserve">3/4"白色进口不透明魔术贴（勾面）</x:t>
  </x:si>
  <x:si>
    <x:t xml:space="preserve">3/4"白色进口不透明魔术贴（毛面）</x:t>
  </x:si>
  <x:si>
    <x:t xml:space="preserve">3/4"白色魔术贴（勾）</x:t>
  </x:si>
  <x:si>
    <x:t xml:space="preserve">3/4"白色魔术贴（毛）</x:t>
  </x:si>
  <x:si>
    <x:t xml:space="preserve">3/4"黑色魔术贴（勾）</x:t>
  </x:si>
  <x:si>
    <x:t xml:space="preserve">3/4"黑色魔术贴（毛）</x:t>
  </x:si>
  <x:si>
    <x:t xml:space="preserve">3/4"黑色婴儿魔术贴（勾面）</x:t>
  </x:si>
  <x:si>
    <x:t xml:space="preserve">3/4"黑色婴儿魔术贴（毛面）</x:t>
  </x:si>
  <x:si>
    <x:t xml:space="preserve">3/8"白色色丁丝带</x:t>
  </x:si>
  <x:si>
    <x:t xml:space="preserve">3/8"白色丈根（48Y/卷）</x:t>
  </x:si>
  <x:si>
    <x:t xml:space="preserve">3/8"黑色色丁丝带（25Y/卷）</x:t>
  </x:si>
  <x:si>
    <x:t xml:space="preserve">3/8"黑色丈根（48Y/卷）</x:t>
  </x:si>
  <x:si>
    <x:t xml:space="preserve">3/8"金色双耳曲边</x:t>
  </x:si>
  <x:si>
    <x:t xml:space="preserve">36寸骷髅人钻头顶底模</x:t>
  </x:si>
  <x:si>
    <x:t xml:space="preserve">36寸南瓜骷髅人头顶钻孔底模</x:t>
  </x:si>
  <x:si>
    <x:t xml:space="preserve">3K计重克称</x:t>
  </x:si>
  <x:si>
    <x:t xml:space="preserve">1|0|工业用|电子式称重|300g|0.1g|莞龙|无型号</x:t>
  </x:si>
  <x:si>
    <x:t xml:space="preserve">3MM透明切牙T骨1</x:t>
  </x:si>
  <x:si>
    <x:t xml:space="preserve">3MM透明切牙T骨2</x:t>
  </x:si>
  <x:si>
    <x:t xml:space="preserve">4.5CM绝缘片/厚度0.26MM</x:t>
  </x:si>
  <x:si>
    <x:t xml:space="preserve">0|0|提供绝缘和分隔|片状|PET薄膜|4.5CM*0.26MM|10%-30%|无牌|无型号</x:t>
  </x:si>
  <x:si>
    <x:t xml:space="preserve">402#002线白色</x:t>
  </x:si>
  <x:si>
    <x:t xml:space="preserve">0|0|非零售用|100%涤纶|0.16千克每个|不上浆||S捻向</x:t>
  </x:si>
  <x:si>
    <x:t xml:space="preserve">402#003线黑色线</x:t>
  </x:si>
  <x:si>
    <x:t xml:space="preserve">402#055线红色</x:t>
  </x:si>
  <x:si>
    <x:t xml:space="preserve">402#099线金黄色</x:t>
  </x:si>
  <x:si>
    <x:t xml:space="preserve">402#118线橙色</x:t>
  </x:si>
  <x:si>
    <x:t xml:space="preserve">402#120线橙色</x:t>
  </x:si>
  <x:si>
    <x:t xml:space="preserve">0|0|非零售用|100%涤纶|0.16千克每个|不上浆|S捻向</x:t>
  </x:si>
  <x:si>
    <x:t xml:space="preserve">402#156线红色</x:t>
  </x:si>
  <x:si>
    <x:t xml:space="preserve">0|0|非零售用|100%涤纶|0.22千克每个|不上浆||S捻向</x:t>
  </x:si>
  <x:si>
    <x:t xml:space="preserve">402#338线绿色</x:t>
  </x:si>
  <x:si>
    <x:t xml:space="preserve">0|0|非零售用|100%涤纶|0.23千克每个|不上浆||S捻向</x:t>
  </x:si>
  <x:si>
    <x:t xml:space="preserve">403#002线白色</x:t>
  </x:si>
  <x:si>
    <x:t xml:space="preserve">403#003线黑色</x:t>
  </x:si>
  <x:si>
    <x:t xml:space="preserve">0|0|非零售用|100%涤纶|0.17千克每个|不上浆||S捻向</x:t>
  </x:si>
  <x:si>
    <x:t xml:space="preserve">403#012线粉红</x:t>
  </x:si>
  <x:si>
    <x:t xml:space="preserve">403#013线虾肉色</x:t>
  </x:si>
  <x:si>
    <x:t xml:space="preserve">0|0|非零售用|100%涤纶|0.18千克每个|不上浆||S捻向</x:t>
  </x:si>
  <x:si>
    <x:t xml:space="preserve">403#051线红色</x:t>
  </x:si>
  <x:si>
    <x:t xml:space="preserve">403#053线红色</x:t>
  </x:si>
  <x:si>
    <x:t xml:space="preserve">0|0|非零售用|100%涤纶|0.20千克每个|不上浆||S捻向</x:t>
  </x:si>
  <x:si>
    <x:t xml:space="preserve">403#054线红色</x:t>
  </x:si>
  <x:si>
    <x:t xml:space="preserve">403#055线红色</x:t>
  </x:si>
  <x:si>
    <x:t xml:space="preserve">403#064线玫红色</x:t>
  </x:si>
  <x:si>
    <x:t xml:space="preserve">403#089线黄色</x:t>
  </x:si>
  <x:si>
    <x:t xml:space="preserve">403#096线黄色</x:t>
  </x:si>
  <x:si>
    <x:t xml:space="preserve">403#099线金黄色</x:t>
  </x:si>
  <x:si>
    <x:t xml:space="preserve">403#116线浅橙</x:t>
  </x:si>
  <x:si>
    <x:t xml:space="preserve">403#118线橙色</x:t>
  </x:si>
  <x:si>
    <x:t xml:space="preserve">403#156线红色</x:t>
  </x:si>
  <x:si>
    <x:t xml:space="preserve">403#338线绿色</x:t>
  </x:si>
  <x:si>
    <x:t xml:space="preserve">403#510强力线蓝色</x:t>
  </x:si>
  <x:si>
    <x:t xml:space="preserve">403#646线杏色</x:t>
  </x:si>
  <x:si>
    <x:t xml:space="preserve">403#739线杏色</x:t>
  </x:si>
  <x:si>
    <x:t xml:space="preserve">58"110G白色针织布开36MM直纹捆条</x:t>
  </x:si>
  <x:si>
    <x:t xml:space="preserve">58"110G白色针织布开40MM直纹捆条</x:t>
  </x:si>
  <x:si>
    <x:t xml:space="preserve">58"110G黑色针织布开32MM直纹捆条</x:t>
  </x:si>
  <x:si>
    <x:t xml:space="preserve">58"110G黑色针织布开36MM直纹捆条</x:t>
  </x:si>
  <x:si>
    <x:t xml:space="preserve">58"110G黑色针织布开40MM直纹捆条</x:t>
  </x:si>
  <x:si>
    <x:t xml:space="preserve">58"黑色210T里布开38MM斜纹捆条</x:t>
  </x:si>
  <x:si>
    <x:t xml:space="preserve">58"玫瑰金210T里布2337C开32MM斜纹捆条</x:t>
  </x:si>
  <x:si>
    <x:t xml:space="preserve">58"烫金开15MM直纹捆条</x:t>
  </x:si>
  <x:si>
    <x:t xml:space="preserve">58"烫金开21MM直纹捆条</x:t>
  </x:si>
  <x:si>
    <x:t xml:space="preserve">5英寸子母扣</x:t>
  </x:si>
  <x:si>
    <x:t xml:space="preserve">0|0|固定产品|塑胶料制|无牌|无型号</x:t>
  </x:si>
  <x:si>
    <x:t xml:space="preserve">60/58”2036C粉色细纹过胶色丁切52MM直纹捆条</x:t>
  </x:si>
  <x:si>
    <x:t xml:space="preserve">60/58”7424C玫红190T过胶里布切23mm斜纹捆条</x:t>
  </x:si>
  <x:si>
    <x:t xml:space="preserve">60/58”7424C玫红190T过胶里布切36mm斜纹捆条</x:t>
  </x:si>
  <x:si>
    <x:t xml:space="preserve">604#002强力线白色</x:t>
  </x:si>
  <x:si>
    <x:t xml:space="preserve">604#003强力线黑色</x:t>
  </x:si>
  <x:si>
    <x:t xml:space="preserve">604#028强力线粉色</x:t>
  </x:si>
  <x:si>
    <x:t xml:space="preserve">604#055线红色</x:t>
  </x:si>
  <x:si>
    <x:t xml:space="preserve">604#092强力线黄色</x:t>
  </x:si>
  <x:si>
    <x:t xml:space="preserve">604#096强力线黄色</x:t>
  </x:si>
  <x:si>
    <x:t xml:space="preserve">604#510强力线蓝色</x:t>
  </x:si>
  <x:si>
    <x:t xml:space="preserve">604#531强力线深蓝色</x:t>
  </x:si>
  <x:si>
    <x:t xml:space="preserve">604#639强力线米黄色</x:t>
  </x:si>
  <x:si>
    <x:t xml:space="preserve">604#652强力线杏色</x:t>
  </x:si>
  <x:si>
    <x:t xml:space="preserve">604#737强力线浅黄色</x:t>
  </x:si>
  <x:si>
    <x:t xml:space="preserve">604#746强力线棕色</x:t>
  </x:si>
  <x:si>
    <x:t xml:space="preserve">604#778强力线浅棕色</x:t>
  </x:si>
  <x:si>
    <x:t xml:space="preserve">604#白色强力线</x:t>
  </x:si>
  <x:si>
    <x:t xml:space="preserve">70度钨钢铣刀1</x:t>
  </x:si>
  <x:si>
    <x:r>
      <x:rPr>
        <x:b/>
        <x:sz val="11"/>
        <x:rFont val="等线"/>
      </x:rPr>
      <x:t xml:space="preserve">1|0|金属加工用|各种硬质材料的雕刻和复杂形状的加工|</x:t>
    </x:r>
    <x:r>
      <x:rPr>
        <x:b/>
        <x:sz val="11"/>
        <x:color rgb="FFFF0000"/>
        <x:rFont val="等线"/>
      </x:rPr>
      <x:t xml:space="preserve">控制方式：数控刀具</x:t>
    </x:r>
    <x:r>
      <x:rPr>
        <x:b/>
        <x:sz val="11"/>
        <x:rFont val="等线"/>
      </x:rPr>
      <x:t xml:space="preserve">|否|K|无型号|K、无型号、原产中国</x:t>
    </x:r>
  </x:si>
  <x:si>
    <x:t xml:space="preserve">70度钨钢铣刀2</x:t>
  </x:si>
  <x:si>
    <x:t xml:space="preserve">7号碳性电池</x:t>
  </x:si>
  <x:si>
    <x:t xml:space="preserve">1|0|提供电源|二氧化锰|GP|7号碳性电池|1000毫安|不含汞</x:t>
  </x:si>
  <x:si>
    <x:t xml:space="preserve">A10&amp;A13-加厚工字形胶片加宽</x:t>
  </x:si>
  <x:si>
    <x:t xml:space="preserve">0|0|装配玩具生产用|塑胶料制|无牌|无型号</x:t>
  </x:si>
  <x:si>
    <x:t xml:space="preserve">A10-珍珠棉管</x:t>
  </x:si>
  <x:si>
    <x:t xml:space="preserve">0|0|聚乙烯|片状|是|泡沫塑料|填充材料、防护材料|270*350*2MM|无牌|无型号</x:t>
  </x:si>
  <x:si>
    <x:t xml:space="preserve">A30-工字形胶片</x:t>
  </x:si>
  <x:si>
    <x:t xml:space="preserve">AAA电池</x:t>
  </x:si>
  <x:si>
    <x:t xml:space="preserve">4|0|提供电源|二氧化锰|DURACELL|LR03|1.5V|无汞</x:t>
  </x:si>
  <x:si>
    <x:t xml:space="preserve">AA电池碳性电池</x:t>
  </x:si>
  <x:si>
    <x:t xml:space="preserve">0|0|提供电源|二氧化锰|无牌|7号碳性电池|1000毫安|不含汞</x:t>
  </x:si>
  <x:si>
    <x:t xml:space="preserve">AG13 LG44钮扣电池</x:t>
  </x:si>
  <x:si>
    <x:t xml:space="preserve">0|0|碱性锌原电池  
用途：提供电源∣|碱性锌锰成分∣圆柱型∣|无牌∣1.5v|无汞 AG13</x:t>
  </x:si>
  <x:si>
    <x:t xml:space="preserve">A吸塑</x:t>
  </x:si>
  <x:si>
    <x:t xml:space="preserve">BATH-8HA-0525,FSC 说明书</x:t>
  </x:si>
  <x:si>
    <x:t xml:space="preserve">0|0|无商业价值</x:t>
  </x:si>
  <x:si>
    <x:t xml:space="preserve">BATH-8HA-0525,FSC 说明书 </x:t>
  </x:si>
  <x:si>
    <x:t xml:space="preserve">B料防老化橡皮筋</x:t>
  </x:si>
  <x:si>
    <x:t xml:space="preserve">0|0|条|3024|塑胶料制|是|无牌|无型号</x:t>
  </x:si>
  <x:si>
    <x:t xml:space="preserve">B吸塑</x:t>
  </x:si>
  <x:si>
    <x:t xml:space="preserve">CDU盒</x:t>
  </x:si>
  <x:si>
    <x:t xml:space="preserve">C吸塑</x:t>
  </x:si>
  <x:si>
    <x:t xml:space="preserve">DEG面板装配热烫夹具</x:t>
  </x:si>
  <x:si>
    <x:t xml:space="preserve">0|0|装配玩具用,非工业用|钢铁制|冲压</x:t>
  </x:si>
  <x:si>
    <x:t xml:space="preserve">EVA单贴</x:t>
  </x:si>
  <x:si>
    <x:t xml:space="preserve">0|0|装配玩具生产用|无牌</x:t>
  </x:si>
  <x:si>
    <x:t xml:space="preserve">EVA垫片</x:t>
  </x:si>
  <x:si>
    <x:t xml:space="preserve">EVA双面贴</x:t>
  </x:si>
  <x:si>
    <x:t xml:space="preserve">EVA贴</x:t>
  </x:si>
  <x:si>
    <x:t xml:space="preserve">GEN 说明书</x:t>
  </x:si>
  <x:si>
    <x:t xml:space="preserve">GPS定位打螺丝</x:t>
  </x:si>
  <x:si>
    <x:t xml:space="preserve">0|0|生产用|塑胶|无牌|无型号|五金+塑胶|使用型模，装配产品</x:t>
  </x:si>
  <x:si>
    <x:t xml:space="preserve">HAPPY-8HA-FSC 笑脸说明书</x:t>
  </x:si>
  <x:si>
    <x:t xml:space="preserve">HD-M水帘柜</x:t>
  </x:si>
  <x:si>
    <x:t xml:space="preserve">0|0|工业用|不锈钢|冲压</x:t>
  </x:si>
  <x:si>
    <x:t xml:space="preserve">J00037发热片</x:t>
  </x:si>
  <x:si>
    <x:t xml:space="preserve">0|0|用途：用于吸塑模发热，加热|无牌|无型号||</x:t>
  </x:si>
  <x:si>
    <x:t xml:space="preserve">J00037吸塑模</x:t>
  </x:si>
  <x:si>
    <x:t xml:space="preserve">0|0|生产用|塑胶+胶水|成套|无牌|无型号||使用型模，装配产品</x:t>
  </x:si>
  <x:si>
    <x:t xml:space="preserve">J00061发热片</x:t>
  </x:si>
  <x:si>
    <x:t xml:space="preserve">J00061吸塑模</x:t>
  </x:si>
  <x:si>
    <x:t xml:space="preserve">J00070发热片</x:t>
  </x:si>
  <x:si>
    <x:t xml:space="preserve">J00070吸塑模</x:t>
  </x:si>
  <x:si>
    <x:t xml:space="preserve">JD装载机车轮气啤夹具(一次啤4个)</x:t>
  </x:si>
  <x:si>
    <x:t xml:space="preserve">0|0|装配玩具用,非工业用|钢铁制|冲压,五金配件</x:t>
  </x:si>
  <x:si>
    <x:t xml:space="preserve">K71胶头A3</x:t>
  </x:si>
  <x:si>
    <x:t xml:space="preserve">LED灯板</x:t>
  </x:si>
  <x:si>
    <x:t xml:space="preserve">0|0|玩具生产用|发音器零件|无牌||</x:t>
  </x:si>
  <x:si>
    <x:t xml:space="preserve">Logo 模具</x:t>
  </x:si>
  <x:si>
    <x:t xml:space="preserve">Logo底模</x:t>
  </x:si>
  <x:si>
    <x:t xml:space="preserve">NTL 狼崽彩盒</x:t>
  </x:si>
  <x:si>
    <x:t xml:space="preserve">NTL 狼崽内卡</x:t>
  </x:si>
  <x:si>
    <x:t xml:space="preserve">OPP带</x:t>
  </x:si>
  <x:si>
    <x:t xml:space="preserve">OPP胶带</x:t>
  </x:si>
  <x:si>
    <x:t xml:space="preserve">PB螺丝</x:t>
  </x:si>
  <x:si>
    <x:t xml:space="preserve">0|0|铁制|353MPa|无牌|1008|2.0mm-4.0mm</x:t>
  </x:si>
  <x:si>
    <x:t xml:space="preserve">PB螺丝2.6*6PB</x:t>
  </x:si>
  <x:si>
    <x:t xml:space="preserve">PB螺丝2.6*8PB</x:t>
  </x:si>
  <x:si>
    <x:t xml:space="preserve">PCBA电子板测试架</x:t>
  </x:si>
  <x:si>
    <x:t xml:space="preserve">PCBA电子板装配打螺丝底模</x:t>
  </x:si>
  <x:si>
    <x:t xml:space="preserve">PCB万能测试架</x:t>
  </x:si>
  <x:si>
    <x:t xml:space="preserve">0|0|生产用|检测出电路板的电气导通性能|测试和验证电子电路板功能|无牌|无型号</x:t>
  </x:si>
  <x:si>
    <x:t xml:space="preserve">PDQ盒-FSC</x:t>
  </x:si>
  <x:si>
    <x:t xml:space="preserve">0|0|纸制|印制|53*43*12</x:t>
  </x:si>
  <x:si>
    <x:t xml:space="preserve">PE 光身胶袋</x:t>
  </x:si>
  <x:si>
    <x:t xml:space="preserve">0|0|玩具包装生产用|PE料制|无牌|无型号||</x:t>
  </x:si>
  <x:si>
    <x:t xml:space="preserve">PET介子</x:t>
  </x:si>
  <x:si>
    <x:t xml:space="preserve">0|0|装配玩具生产用|塑料胶制|无牌|无型号</x:t>
  </x:si>
  <x:si>
    <x:t xml:space="preserve">PE胶袋</x:t>
  </x:si>
  <x:si>
    <x:t xml:space="preserve">PE印刷袋</x:t>
  </x:si>
  <x:si>
    <x:t xml:space="preserve">PPE胶袋</x:t>
  </x:si>
  <x:si>
    <x:t xml:space="preserve">0|0|玩具包装生产用|PPE料制|无牌|无型号||</x:t>
  </x:si>
  <x:si>
    <x:t xml:space="preserve">PVC胶板1</x:t>
  </x:si>
  <x:si>
    <x:t xml:space="preserve">0|0|工业用|透明、板材|pvc|915mm*1830mm*0.8mm|无牌|无型号</x:t>
  </x:si>
  <x:si>
    <x:t xml:space="preserve">PVC胶板2</x:t>
  </x:si>
  <x:si>
    <x:t xml:space="preserve">0|0|工业用|透明、板材|pvc|915mm*1830mm*2mm|无牌|无型号</x:t>
  </x:si>
  <x:si>
    <x:t xml:space="preserve">PVC胶板3</x:t>
  </x:si>
  <x:si>
    <x:t xml:space="preserve">0|0|工业用|透明、板材|pvc|1000mm*2000mm*3mm|无牌|无型号</x:t>
  </x:si>
  <x:si>
    <x:t xml:space="preserve">PVC塑胶粒</x:t>
  </x:si>
  <x:si>
    <x:t xml:space="preserve">0|0|本白不透明胶粒状|已塑化|聚氯乙烯PVC粉 63%、塑胶用复合稳定剂2%、润滑</x:t>
  </x:si>
  <x:si>
    <x:t xml:space="preserve">PVC新胶粒1</x:t>
  </x:si>
  <x:si>
    <x:t xml:space="preserve">0|0|本白不透明胶粒状|已塑化|聚氯乙烯PVC粉
63%、塑胶用复合稳定剂2%、润滑</x:t>
  </x:si>
  <x:si>
    <x:t xml:space="preserve">PVC新胶粒2</x:t>
  </x:si>
  <x:si>
    <x:t xml:space="preserve">PWB螺丝2.6*8PWB D=8</x:t>
  </x:si>
  <x:si>
    <x:t xml:space="preserve">Q235碳钢大铁板</x:t>
  </x:si>
  <x:si>
    <x:t xml:space="preserve">0|0|平板|非合金钢（碳钢）|热轧|未酸洗、未扎花纹、未包覆、未镀层、未涂层|铁99.7%、碳0.2%、猛0.1%|厚度8mm*宽度1200mm|235Mpa|Q235B</x:t>
  </x:si>
  <x:si>
    <x:t xml:space="preserve">TES温度测试仪</x:t>
  </x:si>
  <x:si>
    <x:t xml:space="preserve">1|0|测量高低温，检测表面温度，适合快速现场快速检测|可以直接读数|TES|TES1310</x:t>
  </x:si>
  <x:si>
    <x:t xml:space="preserve">TRY ME贴纸</x:t>
  </x:si>
  <x:si>
    <x:t xml:space="preserve">0|0|纸制|印制|规格：20mm*14.5mm</x:t>
  </x:si>
  <x:si>
    <x:t xml:space="preserve">TRY ME贴纸FSC</x:t>
  </x:si>
  <x:si>
    <x:t xml:space="preserve">0|0|纸制|印制|20mm*14.5mm</x:t>
  </x:si>
  <x:si>
    <x:t xml:space="preserve">TRY ME线</x:t>
  </x:si>
  <x:si>
    <x:t xml:space="preserve">0|0|轻触开关|≤1000伏|无牌|无型号</x:t>
  </x:si>
  <x:si>
    <x:t xml:space="preserve">Y54522帽子</x:t>
  </x:si>
  <x:si>
    <x:t xml:space="preserve">品牌类型：0 出口享惠情况:0 品牌：无牌 用途：生产玩具用 种类:帽子</x:t>
  </x:si>
  <x:si>
    <x:t xml:space="preserve">阿奇CDU</x:t>
  </x:si>
  <x:si>
    <x:t xml:space="preserve">0|0|纸制|印制|30.125"x18.79"</x:t>
  </x:si>
  <x:si>
    <x:t xml:space="preserve">阿奇吊牌</x:t>
  </x:si>
  <x:si>
    <x:t xml:space="preserve">0|0|纸制|印制|6.5"x2.25"</x:t>
  </x:si>
  <x:si>
    <x:t xml:space="preserve">安全刀架</x:t>
  </x:si>
  <x:si>
    <x:t xml:space="preserve">1|0|塑料产品修边处理等|塑胶料制|安顺|无型号</x:t>
  </x:si>
  <x:si>
    <x:t xml:space="preserve">安全刀片</x:t>
  </x:si>
  <x:si>
    <x:t xml:space="preserve">安全阀垫片</x:t>
  </x:si>
  <x:si>
    <x:t xml:space="preserve">0|0|预防磨损，包装保护|橡胶|无牌|无型号</x:t>
  </x:si>
  <x:si>
    <x:t xml:space="preserve">按制托盘吸塑</x:t>
  </x:si>
  <x:si>
    <x:t xml:space="preserve">白色平口头箍</x:t>
  </x:si>
  <x:si>
    <x:t xml:space="preserve">品牌类型：0 出口享惠情况:0 品牌：无牌 用途：生产玩具用 种类:白色平口头箍</x:t>
  </x:si>
  <x:si>
    <x:t xml:space="preserve">白色普通棉带</x:t>
  </x:si>
  <x:si>
    <x:t xml:space="preserve">0|0|700/匹|100%涤纶</x:t>
  </x:si>
  <x:si>
    <x:t xml:space="preserve">白色网袋</x:t>
  </x:si>
  <x:si>
    <x:t xml:space="preserve">加工贸易</x:t>
  </x:si>
  <x:si>
    <x:t xml:space="preserve">绑大身绳子底模夹具</x:t>
  </x:si>
  <x:si>
    <x:t xml:space="preserve">绑鱼绳子底模夹具</x:t>
  </x:si>
  <x:si>
    <x:t xml:space="preserve">宝石贴</x:t>
  </x:si>
  <x:si>
    <x:t xml:space="preserve">0|0|装配玩具生产用|人造水晶|无牌|无型号</x:t>
  </x:si>
  <x:si>
    <x:t xml:space="preserve">保护膜</x:t>
  </x:si>
  <x:si>
    <x:t xml:space="preserve">0|0|防护|片状透明|PET材质|L115mm*W52|无牌|无型号</x:t>
  </x:si>
  <x:si>
    <x:t xml:space="preserve">杯吸塑</x:t>
  </x:si>
  <x:si>
    <x:t xml:space="preserve">杯子试气保压测试夹具</x:t>
  </x:si>
  <x:si>
    <x:t xml:space="preserve">背部加强卡</x:t>
  </x:si>
  <x:si>
    <x:t xml:space="preserve">0|0|瓦楞纸制|可折叠||</x:t>
  </x:si>
  <x:si>
    <x:t xml:space="preserve">泵杆密封圈</x:t>
  </x:si>
  <x:si>
    <x:t xml:space="preserve">变压器3.5V6W带AG13遥控器5条灯串线共90灯</x:t>
  </x:si>
  <x:si>
    <x:t xml:space="preserve">0|0|塑料和LED灯珠|提供照明|无牌</x:t>
  </x:si>
  <x:si>
    <x:t xml:space="preserve">标签</x:t>
  </x:si>
  <x:si>
    <x:t xml:space="preserve">0|0|纸制|印制|76x20</x:t>
  </x:si>
  <x:si>
    <x:t xml:space="preserve">冰淇淋三明治纸盒</x:t>
  </x:si>
  <x:si>
    <x:t xml:space="preserve">饼干 模具</x:t>
  </x:si>
  <x:si>
    <x:t xml:space="preserve">饼干底模</x:t>
  </x:si>
  <x:si>
    <x:t xml:space="preserve">不锈钢餐桌</x:t>
  </x:si>
  <x:si>
    <x:t xml:space="preserve">1|0|不锈钢架+面板|员工用餐用|无牌|规格：200cm* 135cm*76cm</x:t>
  </x:si>
  <x:si>
    <x:t xml:space="preserve">不锈钢浮球阀</x:t>
  </x:si>
  <x:si>
    <x:t xml:space="preserve">0|0|生产用|钢铁|冲压</x:t>
  </x:si>
  <x:si>
    <x:t xml:space="preserve">不锈钢工作台1</x:t>
  </x:si>
  <x:si>
    <x:t xml:space="preserve">0|0|不锈钢|是|无品牌|200*140*75CM|</x:t>
  </x:si>
  <x:si>
    <x:t xml:space="preserve">不锈钢工作台2</x:t>
  </x:si>
  <x:si>
    <x:t xml:space="preserve">0|0|不锈钢|是|无品牌|90*70*75|</x:t>
  </x:si>
  <x:si>
    <x:t xml:space="preserve">不锈钢焊条</x:t>
  </x:si>
  <x:si>
    <x:t xml:space="preserve">1|0|电弧焊|硬质合金|焊条|以焊剂为芯|宏旺达|HWD-308</x:t>
  </x:si>
  <x:si>
    <x:t xml:space="preserve">布袋</x:t>
  </x:si>
  <x:si>
    <x:t xml:space="preserve">0|0|小手布袋|纺织物|无牌|104125-01</x:t>
  </x:si>
  <x:si>
    <x:t xml:space="preserve">布缝钳</x:t>
  </x:si>
  <x:si>
    <x:t xml:space="preserve">0|0|工业用|不锈钢|无牌|无型号</x:t>
  </x:si>
  <x:si>
    <x:t xml:space="preserve">布基胶</x:t>
  </x:si>
  <x:si>
    <x:t xml:space="preserve">0|0|机织|橡胶|是|是|宽20mm*长50M</x:t>
  </x:si>
  <x:si>
    <x:t xml:space="preserve">布鲁伊超声模底模夹具</x:t>
  </x:si>
  <x:si>
    <x:t xml:space="preserve">布鲁伊超声模上模夹具</x:t>
  </x:si>
  <x:si>
    <x:t xml:space="preserve">裁片扫描仪</x:t>
  </x:si>
  <x:si>
    <x:t xml:space="preserve">1|0|咔咻激光|KDBY-6650</x:t>
  </x:si>
  <x:si>
    <x:t xml:space="preserve">彩盒</x:t>
  </x:si>
  <x:si>
    <x:t xml:space="preserve">彩盒FSC</x:t>
  </x:si>
  <x:si>
    <x:t xml:space="preserve">彩盒FSC-客签板</x:t>
  </x:si>
  <x:si>
    <x:t xml:space="preserve">彩盒底部支撑卡-FSC</x:t>
  </x:si>
  <x:si>
    <x:t xml:space="preserve">0|0|纸制|印制|230mm*105mm</x:t>
  </x:si>
  <x:si>
    <x:t xml:space="preserve">彩盒顶固定咭</x:t>
  </x:si>
  <x:si>
    <x:t xml:space="preserve">0|0|纸制|加工程度：印刷|规格：310*230MM</x:t>
  </x:si>
  <x:si>
    <x:t xml:space="preserve">彩盒样板</x:t>
  </x:si>
  <x:si>
    <x:t xml:space="preserve">彩咭</x:t>
  </x:si>
  <x:si>
    <x:t xml:space="preserve">彩咭-FSC</x:t>
  </x:si>
  <x:si>
    <x:t xml:space="preserve">彩咭贴纸</x:t>
  </x:si>
  <x:si>
    <x:t xml:space="preserve">0|0|纸制|印制|110*228mm</x:t>
  </x:si>
  <x:si>
    <x:t xml:space="preserve">餐盘</x:t>
  </x:si>
  <x:si>
    <x:t xml:space="preserve">0|0|餐桌用|不锈钢|未搪瓷</x:t>
  </x:si>
  <x:si>
    <x:t xml:space="preserve">测试架夹具</x:t>
  </x:si>
  <x:si>
    <x:t xml:space="preserve">0|0|工业用|钢铁|机械加工</x:t>
  </x:si>
  <x:si>
    <x:t xml:space="preserve">产品厂贴贴纸</x:t>
  </x:si>
  <x:si>
    <x:t xml:space="preserve">0|0|纸制|印制|188*70mm，强粘</x:t>
  </x:si>
  <x:si>
    <x:t xml:space="preserve">产品定型卡</x:t>
  </x:si>
  <x:si>
    <x:t xml:space="preserve">产品贴纸</x:t>
  </x:si>
  <x:si>
    <x:t xml:space="preserve">超大边模</x:t>
  </x:si>
  <x:si>
    <x:t xml:space="preserve">超声波熔接机</x:t>
  </x:si>
  <x:si>
    <x:t xml:space="preserve">1|0|高频振动熔接|否|兄迪|YS-2026</x:t>
  </x:si>
  <x:si>
    <x:t xml:space="preserve">超声波主板</x:t>
  </x:si>
  <x:si>
    <x:t xml:space="preserve">0|0|工业用|无牌|无型号</x:t>
  </x:si>
  <x:si>
    <x:t xml:space="preserve">超声机振子夹具</x:t>
  </x:si>
  <x:si>
    <x:t xml:space="preserve">超声模具</x:t>
  </x:si>
  <x:si>
    <x:t xml:space="preserve">车床刀具</x:t>
  </x:si>
  <x:si>
    <x:t xml:space="preserve">1|0|金属加工用|合金钢|否|SP|MWLNR1616H08</x:t>
  </x:si>
  <x:si>
    <x:t xml:space="preserve">车床刀片</x:t>
  </x:si>
  <x:si>
    <x:t xml:space="preserve">1|0|金属加工用|合金钢|否|鹰啄|WNMG080404-MUS D112S</x:t>
  </x:si>
  <x:si>
    <x:t xml:space="preserve">车底板冲压夹具</x:t>
  </x:si>
  <x:si>
    <x:t xml:space="preserve">0|0|玩具生产用,非工业用|不锈钢制|冲压|</x:t>
  </x:si>
  <x:si>
    <x:t xml:space="preserve">车底电池片压型模</x:t>
  </x:si>
  <x:si>
    <x:t xml:space="preserve">车底加固咭</x:t>
  </x:si>
  <x:si>
    <x:t xml:space="preserve">车底装压六角螺母手啤模</x:t>
  </x:si>
  <x:si>
    <x:t xml:space="preserve">车顶灯热烫夹具</x:t>
  </x:si>
  <x:si>
    <x:t xml:space="preserve">车顶装配打螺丝底模</x:t>
  </x:si>
  <x:si>
    <x:t xml:space="preserve">车轮螺丝盖打胶水夹具</x:t>
  </x:si>
  <x:si>
    <x:t xml:space="preserve">车身底电池箱电池片压型摸</x:t>
  </x:si>
  <x:si>
    <x:t xml:space="preserve">车身配车底打螺丝底模</x:t>
  </x:si>
  <x:si>
    <x:t xml:space="preserve">车身配前铲臂窝钉冲压气啤夹具</x:t>
  </x:si>
  <x:si>
    <x:t xml:space="preserve">车头灯装配热烫夹具</x:t>
  </x:si>
  <x:si>
    <x:t xml:space="preserve">车头盖装配打螺丝底模</x:t>
  </x:si>
  <x:si>
    <x:t xml:space="preserve">车头鬼面罩装配热烫夹具</x:t>
  </x:si>
  <x:si>
    <x:t xml:space="preserve">车头内咭底-FSC</x:t>
  </x:si>
  <x:si>
    <x:t xml:space="preserve">0|0|纸板制</x:t>
  </x:si>
  <x:si>
    <x:t xml:space="preserve">车尾勾装配啤T钉夹具</x:t>
  </x:si>
  <x:si>
    <x:t xml:space="preserve">车尾支撑卡</x:t>
  </x:si>
  <x:si>
    <x:t xml:space="preserve">车厢轮子压铁轴夹具</x:t>
  </x:si>
  <x:si>
    <x:t xml:space="preserve">0|0|装配玩具工业用|钢铁|冲压</x:t>
  </x:si>
  <x:si>
    <x:t xml:space="preserve">车厢内咭-FSC</x:t>
  </x:si>
  <x:si>
    <x:t xml:space="preserve">车厢中间托咭</x:t>
  </x:si>
  <x:si>
    <x:t xml:space="preserve">车箱顶压咭</x:t>
  </x:si>
  <x:si>
    <x:t xml:space="preserve">车仔轮子压铁轴夹具</x:t>
  </x:si>
  <x:si>
    <x:t xml:space="preserve">车轴套筒啤T钉夹具</x:t>
  </x:si>
  <x:si>
    <x:t xml:space="preserve">城堡吸塑托</x:t>
  </x:si>
  <x:si>
    <x:t xml:space="preserve">城堡吸塑罩</x:t>
  </x:si>
  <x:si>
    <x:t xml:space="preserve">尺码夹</x:t>
  </x:si>
  <x:si>
    <x:t xml:space="preserve">0|0|尺码夹|无牌|无型号</x:t>
  </x:si>
  <x:si>
    <x:t xml:space="preserve">尺码粒</x:t>
  </x:si>
  <x:si>
    <x:t xml:space="preserve">0|0|塑胶件尺码夹|无牌</x:t>
  </x:si>
  <x:si>
    <x:t xml:space="preserve">齿轮打铁轴模具</x:t>
  </x:si>
  <x:si>
    <x:t xml:space="preserve">充电机</x:t>
  </x:si>
  <x:si>
    <x:t xml:space="preserve">0|0|工业用|600W|无牌|无型号</x:t>
  </x:si>
  <x:si>
    <x:t xml:space="preserve">储气罐</x:t>
  </x:si>
  <x:si>
    <x:t xml:space="preserve">0|0|压缩气体|无牌|无型号|Q345R钢</x:t>
  </x:si>
  <x:si>
    <x:t xml:space="preserve">伺服电剪</x:t>
  </x:si>
  <x:si>
    <x:t xml:space="preserve">1|0|工业用|JK-T5D|JACK</x:t>
  </x:si>
  <x:si>
    <x:t xml:space="preserve">打PCBA电子板/打驾驶室盖螺丝底模</x:t>
  </x:si>
  <x:si>
    <x:t xml:space="preserve">打pcb螺丝/打驾驶室顶螺丝底模</x:t>
  </x:si>
  <x:si>
    <x:t xml:space="preserve">打电池门螺丝底模</x:t>
  </x:si>
  <x:si>
    <x:t xml:space="preserve">大边模</x:t>
  </x:si>
  <x:si>
    <x:t xml:space="preserve">大号抛光头</x:t>
  </x:si>
  <x:si>
    <x:t xml:space="preserve">0|0|通用于气动打磨机|无品牌|无型号</x:t>
  </x:si>
  <x:si>
    <x:t xml:space="preserve">大夹模</x:t>
  </x:si>
  <x:si>
    <x:t xml:space="preserve">大夹子</x:t>
  </x:si>
  <x:si>
    <x:t xml:space="preserve">大剪刀</x:t>
  </x:si>
  <x:si>
    <x:t xml:space="preserve">1|0|工业裁缝用|合金钢|剑龙|无型号</x:t>
  </x:si>
  <x:si>
    <x:t xml:space="preserve">大毛笔</x:t>
  </x:si>
  <x:si>
    <x:t xml:space="preserve">0|0|工业用上颜色|木头、猪毛</x:t>
  </x:si>
  <x:si>
    <x:t xml:space="preserve">大面皮  超大边模</x:t>
  </x:si>
  <x:si>
    <x:t xml:space="preserve">大面皮 超大合叶模</x:t>
  </x:si>
  <x:si>
    <x:t xml:space="preserve">大溶胶枪</x:t>
  </x:si>
  <x:si>
    <x:t xml:space="preserve">1|0|电驱动|是|焊宝|RJQHAC100W-802</x:t>
  </x:si>
  <x:si>
    <x:t xml:space="preserve">大身打螺丝底模</x:t>
  </x:si>
  <x:si>
    <x:t xml:space="preserve">大身后超声模夹具</x:t>
  </x:si>
  <x:si>
    <x:t xml:space="preserve">大身前超声模夹具</x:t>
  </x:si>
  <x:si>
    <x:t xml:space="preserve">大吸塑片</x:t>
  </x:si>
  <x:si>
    <x:t xml:space="preserve">单面水洗标</x:t>
  </x:si>
  <x:si>
    <x:t xml:space="preserve">0|0|机织|100%涤纶|非刺绣||</x:t>
  </x:si>
  <x:si>
    <x:t xml:space="preserve">弹性胶钉1</x:t>
  </x:si>
  <x:si>
    <x:t xml:space="preserve">弹性胶钉110MM</x:t>
  </x:si>
  <x:si>
    <x:t xml:space="preserve">0|0|固定用|塑胶料制|无牌|无型号</x:t>
  </x:si>
  <x:si>
    <x:t xml:space="preserve">弹性胶钉115MM</x:t>
  </x:si>
  <x:si>
    <x:t xml:space="preserve">弹性胶钉120MM</x:t>
  </x:si>
  <x:si>
    <x:t xml:space="preserve">弹性胶钉140MM</x:t>
  </x:si>
  <x:si>
    <x:t xml:space="preserve">弹性胶钉190MM</x:t>
  </x:si>
  <x:si>
    <x:t xml:space="preserve">弹性胶钉2</x:t>
  </x:si>
  <x:si>
    <x:t xml:space="preserve">弹性胶钉3</x:t>
  </x:si>
  <x:si>
    <x:t xml:space="preserve">弹性胶钉30MM</x:t>
  </x:si>
  <x:si>
    <x:t xml:space="preserve">弹性胶钉4</x:t>
  </x:si>
  <x:si>
    <x:t xml:space="preserve">弹性胶钉45MM</x:t>
  </x:si>
  <x:si>
    <x:t xml:space="preserve">弹性胶钉60MM</x:t>
  </x:si>
  <x:si>
    <x:t xml:space="preserve">弹性胶钉80MM</x:t>
  </x:si>
  <x:si>
    <x:t xml:space="preserve">弹性胶钉90MM</x:t>
  </x:si>
  <x:si>
    <x:t xml:space="preserve">弹性胶钉机</x:t>
  </x:si>
  <x:si>
    <x:t xml:space="preserve">1|0|打胶钉|一马|YM-ZD120</x:t>
  </x:si>
  <x:si>
    <x:t xml:space="preserve">弹性胶针75MM</x:t>
  </x:si>
  <x:si>
    <x:t xml:space="preserve">刀模垫</x:t>
  </x:si>
  <x:si>
    <x:t xml:space="preserve">0|0|EVA+橡胶|橙色|是|非泡沫塑料|工业用|93*93*1|无牌|无型号</x:t>
  </x:si>
  <x:si>
    <x:t xml:space="preserve">底模</x:t>
  </x:si>
  <x:si>
    <x:t xml:space="preserve">0|0|生产用|塑料胶制|无牌|无型号|塑胶|使用型模，装配产品</x:t>
  </x:si>
  <x:si>
    <x:t xml:space="preserve">底座与底盖打螺丝模具</x:t>
  </x:si>
  <x:si>
    <x:t xml:space="preserve">点灯板</x:t>
  </x:si>
  <x:si>
    <x:t xml:space="preserve">0|0|适用于焊接机|无牌|无型号</x:t>
  </x:si>
  <x:si>
    <x:t xml:space="preserve">点数机</x:t>
  </x:si>
  <x:si>
    <x:t xml:space="preserve">点数机支架</x:t>
  </x:si>
  <x:si>
    <x:t xml:space="preserve">0|0|不锈钢</x:t>
  </x:si>
  <x:si>
    <x:t xml:space="preserve">电表</x:t>
  </x:si>
  <x:si>
    <x:t xml:space="preserve">1|0|电能计量|信号处理与数据计算|HOLLEY|DT862</x:t>
  </x:si>
  <x:si>
    <x:t xml:space="preserve">电池盖打介子底模</x:t>
  </x:si>
  <x:si>
    <x:t xml:space="preserve">电池盖打介子片底模</x:t>
  </x:si>
  <x:si>
    <x:t xml:space="preserve">电池盖打螺丝底模</x:t>
  </x:si>
  <x:si>
    <x:t xml:space="preserve">电池盖打螺丝模具</x:t>
  </x:si>
  <x:si>
    <x:t xml:space="preserve">电池盒版本/三条灯串线共42颗灯</x:t>
  </x:si>
  <x:si>
    <x:t xml:space="preserve">0|0|提供照明|无牌</x:t>
  </x:si>
  <x:si>
    <x:t xml:space="preserve">电池片装配啤压夹具</x:t>
  </x:si>
  <x:si>
    <x:t xml:space="preserve">电池箱电池片压型模</x:t>
  </x:si>
  <x:si>
    <x:t xml:space="preserve">电池箱密封圈</x:t>
  </x:si>
  <x:si>
    <x:t xml:space="preserve">0|0|密封防护，保护电池|橡胶|无牌|无型号</x:t>
  </x:si>
  <x:si>
    <x:t xml:space="preserve">电池箱热压双螺母模具</x:t>
  </x:si>
  <x:si>
    <x:t xml:space="preserve">电池箱压电池片内反模具</x:t>
  </x:si>
  <x:si>
    <x:t xml:space="preserve">电池箱装压六角螺母手啤模</x:t>
  </x:si>
  <x:si>
    <x:t xml:space="preserve">电动叉车</x:t>
  </x:si>
  <x:si>
    <x:t xml:space="preserve">1|0|工业搬运用|电动|龙工|CBD|190mm|2000KG</x:t>
  </x:si>
  <x:si>
    <x:t xml:space="preserve">电焊机</x:t>
  </x:si>
  <x:si>
    <x:t xml:space="preserve">1|0|电焊机|手提式|瑞凌|ARC315D</x:t>
  </x:si>
  <x:si>
    <x:t xml:space="preserve">电焊钳</x:t>
  </x:si>
  <x:si>
    <x:t xml:space="preserve">0|0|通用于电焊机|无品牌|无型号</x:t>
  </x:si>
  <x:si>
    <x:t xml:space="preserve">电焊条</x:t>
  </x:si>
  <x:si>
    <x:t xml:space="preserve">1|0|电弧焊|硬质合金|焊条|以焊剂为芯|湘江|结422</x:t>
  </x:si>
  <x:si>
    <x:t xml:space="preserve">电剪</x:t>
  </x:si>
  <x:si>
    <x:t xml:space="preserve">1|0|织物剪切|杰克|JK-T5D</x:t>
  </x:si>
  <x:si>
    <x:t xml:space="preserve">电缆</x:t>
  </x:si>
  <x:si>
    <x:t xml:space="preserve">0|0|工业用|同轴、无接头|无牌|无型号</x:t>
  </x:si>
  <x:si>
    <x:t xml:space="preserve">电流互感器1</x:t>
  </x:si>
  <x:si>
    <x:t xml:space="preserve">1|0|5VA|否|KRTU7|LMZJ1-0.5 800/5A</x:t>
  </x:si>
  <x:si>
    <x:t xml:space="preserve">电流互感器2</x:t>
  </x:si>
  <x:si>
    <x:t xml:space="preserve">1|0|5VA|否|LMDO|LMZJ1-0.5 400/5A</x:t>
  </x:si>
  <x:si>
    <x:t xml:space="preserve">电流互感器3</x:t>
  </x:si>
  <x:si>
    <x:t xml:space="preserve">1|0|5VA|否|LMDO|LMZJ1-0.5 300/5A</x:t>
  </x:si>
  <x:si>
    <x:t xml:space="preserve">电流互感器4</x:t>
  </x:si>
  <x:si>
    <x:t xml:space="preserve">1|0|5VA|否|LMDO|LMZJ1-0.5 200/5A</x:t>
  </x:si>
  <x:si>
    <x:t xml:space="preserve">电脑花样机3520GP</x:t>
  </x:si>
  <x:si>
    <x:t xml:space="preserve">1|0|工业用|是|兄迪|RR-A9-3520GP</x:t>
  </x:si>
  <x:si>
    <x:t xml:space="preserve">电脑花样机6040GK</x:t>
  </x:si>
  <x:si>
    <x:t xml:space="preserve">1|0|工业用|是|兄迪|RR-A8-6040GK</x:t>
  </x:si>
  <x:si>
    <x:t xml:space="preserve">电批</x:t>
  </x:si>
  <x:si>
    <x:t xml:space="preserve">0|0|电动机驱动|是|无牌|AS-101A</x:t>
  </x:si>
  <x:si>
    <x:t xml:space="preserve">电批头1</x:t>
  </x:si>
  <x:si>
    <x:t xml:space="preserve">1|0|通用于电批机|OEIS|M5*31*30*120</x:t>
  </x:si>
  <x:si>
    <x:t xml:space="preserve">电批头2</x:t>
  </x:si>
  <x:si>
    <x:t xml:space="preserve">1|0|通用于电批机|OEIS|M5*31*30*50</x:t>
  </x:si>
  <x:si>
    <x:t xml:space="preserve">电批头3</x:t>
  </x:si>
  <x:si>
    <x:t xml:space="preserve">1|0|通用于电批机|OEIS|M5*41*30*100</x:t>
  </x:si>
  <x:si>
    <x:t xml:space="preserve">电批头4</x:t>
  </x:si>
  <x:si>
    <x:t xml:space="preserve">1|0|通用于电批机|OEIS|M5*41*30*50</x:t>
  </x:si>
  <x:si>
    <x:t xml:space="preserve">电子板</x:t>
  </x:si>
  <x:si>
    <x:t xml:space="preserve">电子秤</x:t>
  </x:si>
  <x:si>
    <x:t xml:space="preserve">1|0|工业用|电子式称重|300KG|衡之宝|FHI</x:t>
  </x:si>
  <x:si>
    <x:t xml:space="preserve">吊卡FSC</x:t>
  </x:si>
  <x:si>
    <x:t xml:space="preserve">吊磨机</x:t>
  </x:si>
  <x:si>
    <x:t xml:space="preserve">1|0|电动|是|胜虎|S1J-ZZ-6</x:t>
  </x:si>
  <x:si>
    <x:t xml:space="preserve">吊磨机内外线</x:t>
  </x:si>
  <x:si>
    <x:t xml:space="preserve">0|0|通用于电动吊磨机|无牌|无型号</x:t>
  </x:si>
  <x:si>
    <x:t xml:space="preserve">吊牌-FSC</x:t>
  </x:si>
  <x:si>
    <x:t xml:space="preserve">顶盖吸塑</x:t>
  </x:si>
  <x:si>
    <x:t xml:space="preserve">订书钉</x:t>
  </x:si>
  <x:si>
    <x:t xml:space="preserve">编码错误</x:t>
  </x:si>
  <x:si>
    <x:t xml:space="preserve">断布机</x:t>
  </x:si>
  <x:si>
    <x:t xml:space="preserve">1|0|工业用织物裁切|三田|ST-B11N</x:t>
  </x:si>
  <x:si>
    <x:t xml:space="preserve">断布机刀片</x:t>
  </x:si>
  <x:si>
    <x:t xml:space="preserve">1|0|适用于三田品牌断布机|三田|2631-T/ZJ</x:t>
  </x:si>
  <x:si>
    <x:t xml:space="preserve">断布机砂轮</x:t>
  </x:si>
  <x:si>
    <x:t xml:space="preserve">1|0|磨光用|刚玉+不锈钢|是|三田</x:t>
  </x:si>
  <x:si>
    <x:t xml:space="preserve">对折吸塑</x:t>
  </x:si>
  <x:si>
    <x:t xml:space="preserve">发热片</x:t>
  </x:si>
  <x:si>
    <x:t xml:space="preserve">发热芯</x:t>
  </x:si>
  <x:si>
    <x:t xml:space="preserve">1|0|适用于长寿牌热风枪|长寿|无型号</x:t>
  </x:si>
  <x:si>
    <x:t xml:space="preserve">发声枪UV打印底模</x:t>
  </x:si>
  <x:si>
    <x:t xml:space="preserve">发音玩具半成品</x:t>
  </x:si>
  <x:si>
    <x:t xml:space="preserve">方块夹模</x:t>
  </x:si>
  <x:si>
    <x:t xml:space="preserve">方向盘打螺丝底模</x:t>
  </x:si>
  <x:si>
    <x:t xml:space="preserve">防尘眼镜</x:t>
  </x:si>
  <x:si>
    <x:t xml:space="preserve">0|0|电焊防护|平光|无品牌|无型号</x:t>
  </x:si>
  <x:si>
    <x:t xml:space="preserve">防渗漏托盘</x:t>
  </x:si>
  <x:si>
    <x:t xml:space="preserve">0|0|工业用|塑胶|吸塑成型</x:t>
  </x:si>
  <x:si>
    <x:t xml:space="preserve">防伪贴纸</x:t>
  </x:si>
  <x:si>
    <x:t xml:space="preserve">0|0|纸制|印制|直径0.5mm</x:t>
  </x:si>
  <x:si>
    <x:t xml:space="preserve">飞机孔挂咭-FSC</x:t>
  </x:si>
  <x:si>
    <x:t xml:space="preserve">0|0|纸制|印制|53*29*18</x:t>
  </x:si>
  <x:si>
    <x:t xml:space="preserve">菲林片</x:t>
  </x:si>
  <x:si>
    <x:t xml:space="preserve">1|0|排版|聚酯胶片|成卷|非一次成像|未曝光
|406mm*60米|爱尔发牌|3FGP|5.2平</x:t>
  </x:si>
  <x:si>
    <x:t xml:space="preserve">风扇打螺丝底模</x:t>
  </x:si>
  <x:si>
    <x:t xml:space="preserve">封口机</x:t>
  </x:si>
  <x:si>
    <x:t xml:space="preserve">1|0|工业包装用|多奇|PSF-650*1</x:t>
  </x:si>
  <x:si>
    <x:t xml:space="preserve">扶手冲压夹具</x:t>
  </x:si>
  <x:si>
    <x:t xml:space="preserve">扶手杆底模</x:t>
  </x:si>
  <x:si>
    <x:t xml:space="preserve">0|0|玩具生产用|塑胶|无牌|无型号|塑胶+胶水|使用型模，装配产品</x:t>
  </x:si>
  <x:si>
    <x:t xml:space="preserve">负压风机</x:t>
  </x:si>
  <x:si>
    <x:t xml:space="preserve">1|0|工业用|排风扇|0.55KW|Huiyou|HY-1060</x:t>
  </x:si>
  <x:si>
    <x:t xml:space="preserve">负压检测夹具</x:t>
  </x:si>
  <x:si>
    <x:t xml:space="preserve">干湿摩测试布</x:t>
  </x:si>
  <x:si>
    <x:t xml:space="preserve">0|0|机织|棉|5*5cm</x:t>
  </x:si>
  <x:si>
    <x:t xml:space="preserve">干湿摩对色卡</x:t>
  </x:si>
  <x:si>
    <x:t xml:space="preserve">1|0|纺织氧化测试|塑料料制|AATCC|105/A02-1993  105/A03-2019</x:t>
  </x:si>
  <x:si>
    <x:t xml:space="preserve">干燥机</x:t>
  </x:si>
  <x:si>
    <x:t xml:space="preserve">1|0|工业用|不锈钢|ECOAIR|ECD0120</x:t>
  </x:si>
  <x:si>
    <x:t xml:space="preserve">干燥机料斗 </x:t>
  </x:si>
  <x:si>
    <x:t xml:space="preserve">0|0|工业用|塑料|无牌|无型号</x:t>
  </x:si>
  <x:si>
    <x:t xml:space="preserve">钢板</x:t>
  </x:si>
  <x:si>
    <x:t xml:space="preserve">钢板飞模工作台</x:t>
  </x:si>
  <x:si>
    <x:t xml:space="preserve">高温胶带</x:t>
  </x:si>
  <x:si>
    <x:t xml:space="preserve">0|0|隔热|带|是|是|铁氟龙|45*50|无牌|无型号</x:t>
  </x:si>
  <x:si>
    <x:t xml:space="preserve">高温墨管</x:t>
  </x:si>
  <x:si>
    <x:t xml:space="preserve">高周波热压机</x:t>
  </x:si>
  <x:si>
    <x:t xml:space="preserve">0|0|工业用塑胶熔接|无牌|无型号</x:t>
  </x:si>
  <x:si>
    <x:t xml:space="preserve">高周波上模</x:t>
  </x:si>
  <x:si>
    <x:t xml:space="preserve">高周波下模</x:t>
  </x:si>
  <x:si>
    <x:t xml:space="preserve">隔离网</x:t>
  </x:si>
  <x:si>
    <x:t xml:space="preserve">0|0|仓库与车间隔离用|钢铁制|隔离网</x:t>
  </x:si>
  <x:si>
    <x:t xml:space="preserve">隔离网门</x:t>
  </x:si>
  <x:si>
    <x:t xml:space="preserve">0|0|仓库与车间隔离用|钢铁制|隔离网门</x:t>
  </x:si>
  <x:si>
    <x:t xml:space="preserve">工业缝纫机</x:t>
  </x:si>
  <x:si>
    <x:t xml:space="preserve">1|0|工业用|是|兄迪|br-430D-DS</x:t>
  </x:si>
  <x:si>
    <x:t xml:space="preserve">工业内循环高落差玩具 UV打印机</x:t>
  </x:si>
  <x:si>
    <x:t xml:space="preserve">1|0|玩具表面图案印刷|原理：印刷|盛煌科|SHK-2513</x:t>
  </x:si>
  <x:si>
    <x:t xml:space="preserve">工业吸尘器</x:t>
  </x:si>
  <x:si>
    <x:t xml:space="preserve">工作台</x:t>
  </x:si>
  <x:si>
    <x:t xml:space="preserve">0|0|铁制|办公室用|无牌|无型号</x:t>
  </x:si>
  <x:si>
    <x:t xml:space="preserve">公仔固定咭</x:t>
  </x:si>
  <x:si>
    <x:t xml:space="preserve">公仔吸塑</x:t>
  </x:si>
  <x:si>
    <x:t xml:space="preserve">固定板支架</x:t>
  </x:si>
  <x:si>
    <x:t xml:space="preserve">0|0|通用于工业机械手|无牌|无型号</x:t>
  </x:si>
  <x:si>
    <x:t xml:space="preserve">固定咭</x:t>
  </x:si>
  <x:si>
    <x:t xml:space="preserve">固定尼龙轮</x:t>
  </x:si>
  <x:si>
    <x:t xml:space="preserve">1|0|机动车用|铁和尼龙|100mm|75mm|GLOBE|无型号</x:t>
  </x:si>
  <x:si>
    <x:t xml:space="preserve">固定吸塑</x:t>
  </x:si>
  <x:si>
    <x:t xml:space="preserve">管道问题块吸塑托</x:t>
  </x:si>
  <x:si>
    <x:t xml:space="preserve">硅胶大杯防水圈1</x:t>
  </x:si>
  <x:si>
    <x:t xml:space="preserve">0|0|装配玩具生产用|PPE塑料胶制|无牌|无型号</x:t>
  </x:si>
  <x:si>
    <x:t xml:space="preserve">硅胶管</x:t>
  </x:si>
  <x:si>
    <x:t xml:space="preserve">硅胶转轴防水圈2</x:t>
  </x:si>
  <x:si>
    <x:t xml:space="preserve">硅胶转轴防水圈3</x:t>
  </x:si>
  <x:si>
    <x:t xml:space="preserve">柜脚</x:t>
  </x:si>
  <x:si>
    <x:t xml:space="preserve">0|0|工业用|钢铁|冲压</x:t>
  </x:si>
  <x:si>
    <x:t xml:space="preserve">过滤器</x:t>
  </x:si>
  <x:si>
    <x:t xml:space="preserve">焊把线</x:t>
  </x:si>
  <x:si>
    <x:t xml:space="preserve">合金打磨头</x:t>
  </x:si>
  <x:si>
    <x:t xml:space="preserve">0|0|工业用铣削|无牌|BMS-300</x:t>
  </x:si>
  <x:si>
    <x:t xml:space="preserve">合金抛光头</x:t>
  </x:si>
  <x:si>
    <x:t xml:space="preserve">0|0|通用于气动打磨机|无品牌|φ3*6</x:t>
  </x:si>
  <x:si>
    <x:t xml:space="preserve">合页</x:t>
  </x:si>
  <x:si>
    <x:t xml:space="preserve">0|0|工业用|不锈钢制|无品牌|无型号</x:t>
  </x:si>
  <x:si>
    <x:t xml:space="preserve">合页吸塑模</x:t>
  </x:si>
  <x:si>
    <x:t xml:space="preserve">黑色加密手机绳 1.5MM</x:t>
  </x:si>
  <x:si>
    <x:t xml:space="preserve">0|0|装饰用|100涤纶</x:t>
  </x:si>
  <x:si>
    <x:t xml:space="preserve">黑色柯根纱花朵</x:t>
  </x:si>
  <x:si>
    <x:t xml:space="preserve">黑色螺丝</x:t>
  </x:si>
  <x:si>
    <x:t xml:space="preserve">黑色头箍</x:t>
  </x:si>
  <x:si>
    <x:t xml:space="preserve">品牌类型：0 出口享惠情况:0 品牌：无品牌 用途：生产玩具用 种类:黑色头箍</x:t>
  </x:si>
  <x:si>
    <x:t xml:space="preserve">横式高车机针</x:t>
  </x:si>
  <x:si>
    <x:t xml:space="preserve">1|0|通用于工业缝纫机|ORGAN|DP×17</x:t>
  </x:si>
  <x:si>
    <x:t xml:space="preserve">横支撑卡</x:t>
  </x:si>
  <x:si>
    <x:t xml:space="preserve">红色心形宝石</x:t>
  </x:si>
  <x:si>
    <x:t xml:space="preserve">品牌类型：0 出口享惠情况:0 品牌：无牌 用途：生产玩具用 种类:红色心形宝石</x:t>
  </x:si>
  <x:si>
    <x:t xml:space="preserve">后车身装配打螺丝底模</x:t>
  </x:si>
  <x:si>
    <x:t xml:space="preserve">后铰和后铰固定支架装配啤铁轴夹具</x:t>
  </x:si>
  <x:si>
    <x:t xml:space="preserve">后履带轮架啤铁轴夹具</x:t>
  </x:si>
  <x:si>
    <x:t xml:space="preserve">后沙板车灯、后沙板扶手打胶水夹具</x:t>
  </x:si>
  <x:si>
    <x:t xml:space="preserve">后沙板盖底座连杆打螺丝底模</x:t>
  </x:si>
  <x:si>
    <x:t xml:space="preserve">后沙板盖底座与车身组装打螺丝底模</x:t>
  </x:si>
  <x:si>
    <x:t xml:space="preserve">后沙板盖底座组装打螺丝底模</x:t>
  </x:si>
  <x:si>
    <x:t xml:space="preserve">后沙板油箱盖打胶水夹具</x:t>
  </x:si>
  <x:si>
    <x:t xml:space="preserve">壶吸塑</x:t>
  </x:si>
  <x:si>
    <x:t xml:space="preserve">花朵底模</x:t>
  </x:si>
  <x:si>
    <x:t xml:space="preserve">0|0|压制出立体印花纹路|可塑性强的材料|无牌|无型号|塑胶料制|压力作用实现花纹成型</x:t>
  </x:si>
  <x:si>
    <x:t xml:space="preserve">花朵钢板</x:t>
  </x:si>
  <x:si>
    <x:t xml:space="preserve">花朵夹模</x:t>
  </x:si>
  <x:si>
    <x:t xml:space="preserve">花朵周转吸塑</x:t>
  </x:si>
  <x:si>
    <x:t xml:space="preserve">花样车免按辅助压脚</x:t>
  </x:si>
  <x:si>
    <x:t xml:space="preserve">0|0|通用于工业缝纫机|钢铁|冲压</x:t>
  </x:si>
  <x:si>
    <x:t xml:space="preserve">回转气缸</x:t>
  </x:si>
  <x:si>
    <x:t xml:space="preserve">1|0|气动|工业用|SMC|MSQB10A</x:t>
  </x:si>
  <x:si>
    <x:t xml:space="preserve">活动尼龙轮</x:t>
  </x:si>
  <x:si>
    <x:t xml:space="preserve">货架</x:t>
  </x:si>
  <x:si>
    <x:t xml:space="preserve">0|0|存放货物|铁制|工业用</x:t>
  </x:si>
  <x:si>
    <x:t xml:space="preserve">机电马达</x:t>
  </x:si>
  <x:si>
    <x:t xml:space="preserve">0|0|玩具生产用|30瓦|60*69*60.5mm|无牌|无型号</x:t>
  </x:si>
  <x:si>
    <x:t xml:space="preserve">机身贴纸FSC</x:t>
  </x:si>
  <x:si>
    <x:t xml:space="preserve">0|0|纸制|印制|190.84*17.25MM</x:t>
  </x:si>
  <x:si>
    <x:t xml:space="preserve">机尾贴纸FSC</x:t>
  </x:si>
  <x:si>
    <x:t xml:space="preserve">0|0|纸制|印制|14.42*16.57mm</x:t>
  </x:si>
  <x:si>
    <x:t xml:space="preserve">咭卡签板</x:t>
  </x:si>
  <x:si>
    <x:t xml:space="preserve">0|0|纸制|印制|规格：265MM*300MM</x:t>
  </x:si>
  <x:si>
    <x:t xml:space="preserve">唧筒支架与唧筒装配啤铆钉夹具</x:t>
  </x:si>
  <x:si>
    <x:t xml:space="preserve">激光打标机</x:t>
  </x:si>
  <x:si>
    <x:t xml:space="preserve">1|0|雕刻日期码|加工方式：刻蚀打标|KASU|KMF-5</x:t>
  </x:si>
  <x:si>
    <x:t xml:space="preserve">激光模板机</x:t>
  </x:si>
  <x:si>
    <x:t xml:space="preserve">1|0|工业用|自动|JOOKE|RR-13095-SS-XH-L3</x:t>
  </x:si>
  <x:si>
    <x:t xml:space="preserve">激光切割机</x:t>
  </x:si>
  <x:si>
    <x:t xml:space="preserve">1|0|切割布料|激光切割|KASU|K1390-F1</x:t>
  </x:si>
  <x:si>
    <x:t xml:space="preserve">集尘器</x:t>
  </x:si>
  <x:si>
    <x:t xml:space="preserve">0|0|工业用|无不锈钢外壳|无不锈钢外壳|风机吸尘|无牌|无型号|300W</x:t>
  </x:si>
  <x:si>
    <x:t xml:space="preserve">计数电子秤</x:t>
  </x:si>
  <x:si>
    <x:t xml:space="preserve">1|0|工业用|电子式称重|30KG|感量：0.1g|衡之宝|无型号</x:t>
  </x:si>
  <x:si>
    <x:t xml:space="preserve">计数器</x:t>
  </x:si>
  <x:si>
    <x:t xml:space="preserve">0|0|生产工具|无牌|无型号</x:t>
  </x:si>
  <x:si>
    <x:t xml:space="preserve">计算按制 total 模具</x:t>
  </x:si>
  <x:si>
    <x:t xml:space="preserve">计算按制 total底模</x:t>
  </x:si>
  <x:si>
    <x:t xml:space="preserve">计算按制 模具</x:t>
  </x:si>
  <x:si>
    <x:t xml:space="preserve">计算按制 上模模盖</x:t>
  </x:si>
  <x:si>
    <x:t xml:space="preserve">计算按制底模</x:t>
  </x:si>
  <x:si>
    <x:t xml:space="preserve">加大蓝狗右脚模</x:t>
  </x:si>
  <x:si>
    <x:t xml:space="preserve">加大蓝狗左脚模</x:t>
  </x:si>
  <x:si>
    <x:t xml:space="preserve">加热棒</x:t>
  </x:si>
  <x:si>
    <x:t xml:space="preserve">夹具固定铁块</x:t>
  </x:si>
  <x:si>
    <x:t xml:space="preserve">佳比+猫型美人鱼彩盒</x:t>
  </x:si>
  <x:si>
    <x:t xml:space="preserve">佳比+猫型美人鱼内卡+加固卡</x:t>
  </x:si>
  <x:si>
    <x:t xml:space="preserve">佳比+猫鱼组合装塑胶成品</x:t>
  </x:si>
  <x:si>
    <x:t xml:space="preserve">佳比浮块</x:t>
  </x:si>
  <x:si>
    <x:t xml:space="preserve">0|0|泡沫浮块|无牌</x:t>
  </x:si>
  <x:si>
    <x:t xml:space="preserve">佳比吸塑</x:t>
  </x:si>
  <x:si>
    <x:t xml:space="preserve">假电池测试架夹具</x:t>
  </x:si>
  <x:si>
    <x:t xml:space="preserve">价格贴纸</x:t>
  </x:si>
  <x:si>
    <x:t xml:space="preserve">0|0|纸制|印制|1"(L)x0.75"(W)</x:t>
  </x:si>
  <x:si>
    <x:t xml:space="preserve">驾驶盘打螺丝底模</x:t>
  </x:si>
  <x:si>
    <x:t xml:space="preserve">驾驶室顶板装配螺母热烫夹具</x:t>
  </x:si>
  <x:si>
    <x:t xml:space="preserve">驾驶室顶打螺丝底模</x:t>
  </x:si>
  <x:si>
    <x:t xml:space="preserve">驾驶室顶配PCBA电路板打螺丝底模</x:t>
  </x:si>
  <x:si>
    <x:t xml:space="preserve">驾驶室配车身打螺丝底模</x:t>
  </x:si>
  <x:si>
    <x:t xml:space="preserve">尖嘴钳</x:t>
  </x:si>
  <x:si>
    <x:t xml:space="preserve">0|0|工业用工具|合金钢|无牌|无型号</x:t>
  </x:si>
  <x:si>
    <x:t xml:space="preserve">检针机</x:t>
  </x:si>
  <x:si>
    <x:t xml:space="preserve">1|0|工业用|电磁吸附|检测产品是否有金属物|连新牌|JZQ-7300-6016</x:t>
  </x:si>
  <x:si>
    <x:t xml:space="preserve">剪钳</x:t>
  </x:si>
  <x:si>
    <x:t xml:space="preserve">1|0|剪塑料水口|合金钢|FEIBAO|F01-115</x:t>
  </x:si>
  <x:si>
    <x:t xml:space="preserve">碱性锌锰电池</x:t>
  </x:si>
  <x:si>
    <x:t xml:space="preserve">0|0|提供电源|碱性锌锰成分|圆柱形|无牌|碱性锌原电池|1.5v|不含汞</x:t>
  </x:si>
  <x:si>
    <x:t xml:space="preserve">胶袋</x:t>
  </x:si>
  <x:si>
    <x:t xml:space="preserve">胶水</x:t>
  </x:si>
  <x:si>
    <x:t xml:space="preserve">0|0|塑料制品粘接|塑胶|无牌|HN-8401|五金+塑胶|聚合转变为固定聚合物</x:t>
  </x:si>
  <x:si>
    <x:t xml:space="preserve">胶水1</x:t>
  </x:si>
  <x:si>
    <x:t xml:space="preserve">0|0|塑料制品粘接|塑胶|无牌|HN-5012|五金+塑胶|聚合转变为固定聚合物</x:t>
  </x:si>
  <x:si>
    <x:t xml:space="preserve">胶头吸塑罩</x:t>
  </x:si>
  <x:si>
    <x:t xml:space="preserve">0|0|工业用|PVC|无牌|无型号</x:t>
  </x:si>
  <x:si>
    <x:t xml:space="preserve">胶针</x:t>
  </x:si>
  <x:si>
    <x:t xml:space="preserve">胶针介子</x:t>
  </x:si>
  <x:si>
    <x:t xml:space="preserve">胶纸</x:t>
  </x:si>
  <x:si>
    <x:t xml:space="preserve">0|0|胶纸|浸渍|成卷矩形|300克|LOUIS JAPE牌|无型号</x:t>
  </x:si>
  <x:si>
    <x:t xml:space="preserve">角磨机</x:t>
  </x:si>
  <x:si>
    <x:t xml:space="preserve">1|0|工业用|合金钢制|是|东成|S1M-FF09-100S</x:t>
  </x:si>
  <x:si>
    <x:t xml:space="preserve">脚轮</x:t>
  </x:si>
  <x:si>
    <x:t xml:space="preserve">0|0|通用于工业缝纫机|无牌|无型号</x:t>
  </x:si>
  <x:si>
    <x:t xml:space="preserve">搅拌机塑胶成品</x:t>
  </x:si>
  <x:si>
    <x:t xml:space="preserve">介子螺丝</x:t>
  </x:si>
  <x:si>
    <x:t xml:space="preserve">金色开关按制移印模具</x:t>
  </x:si>
  <x:si>
    <x:t xml:space="preserve">警灯背面贴纸</x:t>
  </x:si>
  <x:si>
    <x:t xml:space="preserve">0|0|纸制|印制|15.0*3.0mm，强粘、过胶膜</x:t>
  </x:si>
  <x:si>
    <x:t xml:space="preserve">警灯正面贴纸</x:t>
  </x:si>
  <x:si>
    <x:t xml:space="preserve">0|0|纸制|印制|12.0*2.0，强粘、过胶膜</x:t>
  </x:si>
  <x:si>
    <x:t xml:space="preserve">静电膜空白贴纸</x:t>
  </x:si>
  <x:si>
    <x:t xml:space="preserve">0|0|纸制|印制|61*25mm</x:t>
  </x:si>
  <x:si>
    <x:t xml:space="preserve">镜片贴纸</x:t>
  </x:si>
  <x:si>
    <x:t xml:space="preserve">0|0|纸制|印制|85*167mm</x:t>
  </x:si>
  <x:si>
    <x:t xml:space="preserve">锯片</x:t>
  </x:si>
  <x:si>
    <x:t xml:space="preserve">0|0|加工金属|合金钢制|无牌|无型号</x:t>
  </x:si>
  <x:si>
    <x:t xml:space="preserve">聚苯乙烯</x:t>
  </x:si>
  <x:si>
    <x:t xml:space="preserve">聚丙烯树脂</x:t>
  </x:si>
  <x:si>
    <x:r>
      <x:rPr>
        <x:b/>
        <x:sz val="11"/>
        <x:color rgb="FFFF0000"/>
        <x:rFont val="等线"/>
      </x:rPr>
      <x:t xml:space="preserve">4|0|半透明颗粒|聚丙烯99%，润滑剂1%|新料|正品|SINOPEC牌</x:t>
    </x:r>
    <x:r>
      <x:rPr>
        <x:b/>
        <x:sz val="11"/>
        <x:rFont val="等线"/>
      </x:rPr>
      <x:t xml:space="preserve">|K8003|</x:t>
    </x:r>
    <x:r>
      <x:rPr>
        <x:b/>
        <x:sz val="11"/>
        <x:color rgb="FFFF0000"/>
        <x:rFont val="等线"/>
      </x:rPr>
      <x:t xml:space="preserve">20250415|通用级，PP树脂|</x:t>
    </x:r>
  </x:si>
  <x:si>
    <x:t xml:space="preserve">卷齿支架滚筒支撑卡</x:t>
  </x:si>
  <x:si>
    <x:t xml:space="preserve">开窗彩盒-FSC</x:t>
  </x:si>
  <x:si>
    <x:t xml:space="preserve">开关帽</x:t>
  </x:si>
  <x:si>
    <x:t xml:space="preserve">0|0|保护开关|塑胶料制|无牌|无型号</x:t>
  </x:si>
  <x:si>
    <x:t xml:space="preserve">冚车机针</x:t>
  </x:si>
  <x:si>
    <x:t xml:space="preserve">1|0|通用于工业缝纫机|ORGAN|UY×128 GAS</x:t>
  </x:si>
  <x:si>
    <x:t xml:space="preserve">拷贝纸</x:t>
  </x:si>
  <x:si>
    <x:t xml:space="preserve">0|0|纸制|印制|530mm*370mm</x:t>
  </x:si>
  <x:si>
    <x:t xml:space="preserve">可调缩皱压脚</x:t>
  </x:si>
  <x:si>
    <x:t xml:space="preserve">1|0|通用于工业缝纫机|钢铁|冲压</x:t>
  </x:si>
  <x:si>
    <x:t xml:space="preserve">可移贴纸</x:t>
  </x:si>
  <x:si>
    <x:t xml:space="preserve">0|0|纸制|印制|82.5*179mm</x:t>
  </x:si>
  <x:si>
    <x:t xml:space="preserve">空压机</x:t>
  </x:si>
  <x:si>
    <x:t xml:space="preserve">1|0|工业用|ECOAIR|YTJ75-8</x:t>
  </x:si>
  <x:si>
    <x:t xml:space="preserve">控制面板</x:t>
  </x:si>
  <x:si>
    <x:t xml:space="preserve">0|0|用以超声波塑焊机|通过触摸屏设定参数反馈到控制单元|小于1000伏|无牌|无型号||</x:t>
  </x:si>
  <x:si>
    <x:t xml:space="preserve">扣式锌锰电池</x:t>
  </x:si>
  <x:si>
    <x:t xml:space="preserve">0|0|提供电源|碱性锌锰|圆形|无牌|无型号|1.5v|无汞</x:t>
  </x:si>
  <x:si>
    <x:t xml:space="preserve">拉伸膜</x:t>
  </x:si>
  <x:si>
    <x:t xml:space="preserve">喇叭</x:t>
  </x:si>
  <x:si>
    <x:t xml:space="preserve">喇叭装配打螺丝底模</x:t>
  </x:si>
  <x:si>
    <x:t xml:space="preserve">蓝莓纸盒</x:t>
  </x:si>
  <x:si>
    <x:t xml:space="preserve">0|0|纸制|印制|77.8*20.5*88.6mm</x:t>
  </x:si>
  <x:si>
    <x:t xml:space="preserve">蓝色丝带</x:t>
  </x:si>
  <x:si>
    <x:t xml:space="preserve">狼仔吸塑</x:t>
  </x:si>
  <x:si>
    <x:t xml:space="preserve">老虎钳</x:t>
  </x:si>
  <x:si>
    <x:t xml:space="preserve">1|0|工具|合金钢|FEIBAO|F01-106P</x:t>
  </x:si>
  <x:si>
    <x:t xml:space="preserve">立式高车机针</x:t>
  </x:si>
  <x:si>
    <x:t xml:space="preserve">1|0|通用于工业缝纫机|SCHMETZ|TV×3 SUK</x:t>
  </x:si>
  <x:si>
    <x:t xml:space="preserve">利宝</x:t>
  </x:si>
  <x:si>
    <x:t xml:space="preserve">0|0|纸制|印制|80*50mm</x:t>
  </x:si>
  <x:si>
    <x:t xml:space="preserve">栗宝宝吸塑底托</x:t>
  </x:si>
  <x:si>
    <x:t xml:space="preserve">联测触屏可程式恒温恒湿箱</x:t>
  </x:si>
  <x:si>
    <x:t xml:space="preserve">1|0|高温，低温，潮湿，干燥等环境|电阻加热|联测仪器|Sintoyq-1000L</x:t>
  </x:si>
  <x:si>
    <x:t xml:space="preserve">两用扳手套装</x:t>
  </x:si>
  <x:si>
    <x:t xml:space="preserve">1|0|合金钢|固定的|艾威博尔|355023</x:t>
  </x:si>
  <x:si>
    <x:t xml:space="preserve">流水线</x:t>
  </x:si>
  <x:si>
    <x:t xml:space="preserve">0|0|工业生产用|皮带输送线|带式|无牌|无型号</x:t>
  </x:si>
  <x:si>
    <x:t xml:space="preserve">螺杆支撑卡</x:t>
  </x:si>
  <x:si>
    <x:t xml:space="preserve">螺母</x:t>
  </x:si>
  <x:si>
    <x:t xml:space="preserve">0|0|铁制|无牌|47712A|47713A|47714A|47716A|</x:t>
  </x:si>
  <x:si>
    <x:t xml:space="preserve">螺丝</x:t>
  </x:si>
  <x:si>
    <x:t xml:space="preserve">螺旋钻支撑卡-FSC</x:t>
  </x:si>
  <x:si>
    <x:t xml:space="preserve">铝箔袋</x:t>
  </x:si>
  <x:si>
    <x:t xml:space="preserve">0|0|玩具包装生产用|PE和铝箔|无牌|无型号</x:t>
  </x:si>
  <x:si>
    <x:t xml:space="preserve">履带轮架L啤铁轴夹具</x:t>
  </x:si>
  <x:si>
    <x:t xml:space="preserve">履带轮架L小车轮啤T钉轴夹具</x:t>
  </x:si>
  <x:si>
    <x:t xml:space="preserve">履带轮架R啤铁轴夹具</x:t>
  </x:si>
  <x:si>
    <x:t xml:space="preserve">履带轮架R小车轮啤T钉轴夹具</x:t>
  </x:si>
  <x:si>
    <x:t xml:space="preserve">履带轮架配件打胶水夹具</x:t>
  </x:si>
  <x:si>
    <x:t xml:space="preserve">马达打齿牙上下模具</x:t>
  </x:si>
  <x:si>
    <x:t xml:space="preserve">马里奥塑底</x:t>
  </x:si>
  <x:si>
    <x:t xml:space="preserve">马里奥塑罩</x:t>
  </x:si>
  <x:si>
    <x:t xml:space="preserve">马里奥吸塑底托</x:t>
  </x:si>
  <x:si>
    <x:t xml:space="preserve">马里奥周转吸塑</x:t>
  </x:si>
  <x:si>
    <x:t xml:space="preserve">马仔衣架</x:t>
  </x:si>
  <x:si>
    <x:t xml:space="preserve">0|0|塑料马仔衣架|无牌|无型号</x:t>
  </x:si>
  <x:si>
    <x:t xml:space="preserve">慢速粉碎机 </x:t>
  </x:si>
  <x:si>
    <x:t xml:space="preserve">0|0|工业用粉碎塑料|无牌|3P</x:t>
  </x:si>
  <x:si>
    <x:t xml:space="preserve">盲盒 FSC</x:t>
  </x:si>
  <x:si>
    <x:t xml:space="preserve">0|0|纸制|印制|38*38*15</x:t>
  </x:si>
  <x:si>
    <x:t xml:space="preserve">毛笔</x:t>
  </x:si>
  <x:si>
    <x:t xml:space="preserve">毛绒半成品-印蝴蝶绣花章</x:t>
  </x:si>
  <x:si>
    <x:t xml:space="preserve">毛绒半成品-印甲虫绣花章</x:t>
  </x:si>
  <x:si>
    <x:t xml:space="preserve">毛绒半成品-印蚂蚁绣花章</x:t>
  </x:si>
  <x:si>
    <x:t xml:space="preserve">毛绒半成品-印毛毛虫绣花章</x:t>
  </x:si>
  <x:si>
    <x:t xml:space="preserve">毛绒半成品-印蜜峰绣花章</x:t>
  </x:si>
  <x:si>
    <x:t xml:space="preserve">毛绒裁片</x:t>
  </x:si>
  <x:si>
    <x:t xml:space="preserve">毛绒蓝色海草</x:t>
  </x:si>
  <x:si>
    <x:t xml:space="preserve">0|0|毛绒玩具类|无牌|93767</x:t>
  </x:si>
  <x:si>
    <x:t xml:space="preserve">毛绒蓝色水布球</x:t>
  </x:si>
  <x:si>
    <x:t xml:space="preserve">毛绒绿色水布球</x:t>
  </x:si>
  <x:si>
    <x:t xml:space="preserve">毛绒紫色海草</x:t>
  </x:si>
  <x:si>
    <x:t xml:space="preserve">帽子点胶机</x:t>
  </x:si>
  <x:si>
    <x:t xml:space="preserve">帽子点胶机底模</x:t>
  </x:si>
  <x:si>
    <x:t xml:space="preserve">迷你夹具</x:t>
  </x:si>
  <x:si>
    <x:t xml:space="preserve">0|0|通用于工业机械手|无牌|ERG-15#</x:t>
  </x:si>
  <x:si>
    <x:t xml:space="preserve">密封圈</x:t>
  </x:si>
  <x:si>
    <x:t xml:space="preserve">0|0|密封防护|橡胶|无牌|无型号</x:t>
  </x:si>
  <x:si>
    <x:t xml:space="preserve">面皮底模</x:t>
  </x:si>
  <x:si>
    <x:t xml:space="preserve">模板机</x:t>
  </x:si>
  <x:si>
    <x:t xml:space="preserve">1|0|工业用|自动|JOOKE|RR-13095-SS-XH</x:t>
  </x:si>
  <x:si>
    <x:t xml:space="preserve">模具黄弹簧 </x:t>
  </x:si>
  <x:si>
    <x:t xml:space="preserve">0|0|工业用|钢铁</x:t>
  </x:si>
  <x:si>
    <x:t xml:space="preserve">模具托针 </x:t>
  </x:si>
  <x:si>
    <x:t xml:space="preserve">0|0|工业用|钢材|锻造</x:t>
  </x:si>
  <x:si>
    <x:t xml:space="preserve">磨菇吸塑底托</x:t>
  </x:si>
  <x:si>
    <x:t xml:space="preserve">磨菇周转吸塑</x:t>
  </x:si>
  <x:si>
    <x:t xml:space="preserve">磨砂抛光头</x:t>
  </x:si>
  <x:si>
    <x:t xml:space="preserve">奶牛吸塑托</x:t>
  </x:si>
  <x:si>
    <x:t xml:space="preserve">耐高温胶纸</x:t>
  </x:si>
  <x:si>
    <x:t xml:space="preserve">0|0|生产用|带状|成卷|单面自粘|100%PET|10*0.1mm|非半导体晶圆制造用|无牌|无型号</x:t>
  </x:si>
  <x:si>
    <x:t xml:space="preserve">耐压测试仪</x:t>
  </x:si>
  <x:si>
    <x:t xml:space="preserve">1|0|测量高压|测试高压|是|长盛|CS2670A</x:t>
  </x:si>
  <x:si>
    <x:t xml:space="preserve">男公仔吸塑罩</x:t>
  </x:si>
  <x:si>
    <x:t xml:space="preserve">内咭</x:t>
  </x:si>
  <x:si>
    <x:t xml:space="preserve">0|0|纸质|印制|37.3"(L) x 17.2"(W)</x:t>
  </x:si>
  <x:si>
    <x:t xml:space="preserve">内咭-FSC</x:t>
  </x:si>
  <x:si>
    <x:t xml:space="preserve">0|0|纸制|长方形|265MM*290MM</x:t>
  </x:si>
  <x:si>
    <x:t xml:space="preserve">内咭底加固咭-FSC</x:t>
  </x:si>
  <x:si>
    <x:t xml:space="preserve">内卡下加强卡-FSC</x:t>
  </x:si>
  <x:si>
    <x:t xml:space="preserve">内六角螺丝1</x:t>
  </x:si>
  <x:si>
    <x:t xml:space="preserve">1|0|碳钢|1200Mpa|JC|M12-1.75*100|M12</x:t>
  </x:si>
  <x:si>
    <x:t xml:space="preserve">能量色散X荧光光谱仪</x:t>
  </x:si>
  <x:si>
    <x:t xml:space="preserve">1|0|RoHS检测/成分鉴定|检验成分/测镀层/环保检测|玩具|广州金谷|EDX-360</x:t>
  </x:si>
  <x:si>
    <x:t xml:space="preserve">牛隔咭-FSC</x:t>
  </x:si>
  <x:si>
    <x:t xml:space="preserve">牛固定咭-FSC</x:t>
  </x:si>
  <x:si>
    <x:t xml:space="preserve">牛奶瓶贴纸</x:t>
  </x:si>
  <x:si>
    <x:t xml:space="preserve">0|0|纸制|印制|33*71mm</x:t>
  </x:si>
  <x:si>
    <x:t xml:space="preserve">扭力测试仪</x:t>
  </x:si>
  <x:si>
    <x:t xml:space="preserve">1|0|校准与检测工具|电批和风批|H1OS|HP-50</x:t>
  </x:si>
  <x:si>
    <x:t xml:space="preserve">农场车套装成品</x:t>
  </x:si>
  <x:si>
    <x:t xml:space="preserve">农场车套装塑胶成品1</x:t>
  </x:si>
  <x:si>
    <x:t xml:space="preserve">农场车套装塑胶成品2</x:t>
  </x:si>
  <x:si>
    <x:t xml:space="preserve">女公仔吸塑罩</x:t>
  </x:si>
  <x:si>
    <x:t xml:space="preserve">女孩公仔压冒子定型夹具</x:t>
  </x:si>
  <x:si>
    <x:t xml:space="preserve">喷码机</x:t>
  </x:si>
  <x:si>
    <x:t xml:space="preserve">1|0|打印日期码|喷墨式|欧格达|S680-PLUS</x:t>
  </x:si>
  <x:si>
    <x:t xml:space="preserve">喷砂机</x:t>
  </x:si>
  <x:si>
    <x:t xml:space="preserve">1|0|金刚砂|工业用|AOBAITE|CL-250</x:t>
  </x:si>
  <x:si>
    <x:t xml:space="preserve">喷头</x:t>
  </x:si>
  <x:si>
    <x:t xml:space="preserve">喷头疏通产品</x:t>
  </x:si>
  <x:si>
    <x:t xml:space="preserve">披水口刀</x:t>
  </x:si>
  <x:si>
    <x:t xml:space="preserve">0|0|工业用|塑料+铁|否|无牌|无型号</x:t>
  </x:si>
  <x:si>
    <x:t xml:space="preserve">皮卡车绑咭-FSC</x:t>
  </x:si>
  <x:si>
    <x:t xml:space="preserve">皮卡车车窗前热烫夹具</x:t>
  </x:si>
  <x:si>
    <x:t xml:space="preserve">皮卡车车窗左右热烫夹具</x:t>
  </x:si>
  <x:si>
    <x:t xml:space="preserve">皮卡车车轮冲轮皮刀片</x:t>
  </x:si>
  <x:si>
    <x:t xml:space="preserve">皮卡车车轮冲轮皮夹具</x:t>
  </x:si>
  <x:si>
    <x:t xml:space="preserve">皮卡车车轮装轮胎夹具</x:t>
  </x:si>
  <x:si>
    <x:t xml:space="preserve">皮卡车车头盖、前网格热烫夹具</x:t>
  </x:si>
  <x:si>
    <x:t xml:space="preserve">皮卡车车头盖打螺丝底模</x:t>
  </x:si>
  <x:si>
    <x:t xml:space="preserve">皮卡车打PCBA、按制、控制底板、喇叭压盖打螺丝底模</x:t>
  </x:si>
  <x:si>
    <x:t xml:space="preserve">皮卡车打电池箱底模</x:t>
  </x:si>
  <x:si>
    <x:t xml:space="preserve">皮卡车底模</x:t>
  </x:si>
  <x:si>
    <x:t xml:space="preserve">皮卡车底托-FSC</x:t>
  </x:si>
  <x:si>
    <x:t xml:space="preserve">皮卡车电池盖打介子底模</x:t>
  </x:si>
  <x:si>
    <x:t xml:space="preserve">皮卡车电池箱螺母热烫夹具</x:t>
  </x:si>
  <x:si>
    <x:t xml:space="preserve">皮卡车电池箱压电池片夹具</x:t>
  </x:si>
  <x:si>
    <x:t xml:space="preserve">皮卡车钢板</x:t>
  </x:si>
  <x:si>
    <x:t xml:space="preserve">皮卡车后档板、挡板内胆打螺丝底模</x:t>
  </x:si>
  <x:si>
    <x:t xml:space="preserve">皮卡车后轮气压机</x:t>
  </x:si>
  <x:si>
    <x:t xml:space="preserve">皮卡车配车底打螺丝底模</x:t>
  </x:si>
  <x:si>
    <x:t xml:space="preserve">皮卡车配前转向打螺丝底模</x:t>
  </x:si>
  <x:si>
    <x:t xml:space="preserve">皮卡车前轮压倒扣钉夹具</x:t>
  </x:si>
  <x:si>
    <x:t xml:space="preserve">皮卡车前轮转向热烫夹具</x:t>
  </x:si>
  <x:si>
    <x:t xml:space="preserve">皮卡车转向轴压方向盘夹具</x:t>
  </x:si>
  <x:si>
    <x:t xml:space="preserve">皮卡车转向轴压丝母塞夹具</x:t>
  </x:si>
  <x:si>
    <x:t xml:space="preserve">皮卡车座椅、内饰打螺丝底模</x:t>
  </x:si>
  <x:si>
    <x:t xml:space="preserve">啤杯士压簧夹具</x:t>
  </x:si>
  <x:si>
    <x:t xml:space="preserve">啤直齿铁轴夹具</x:t>
  </x:si>
  <x:si>
    <x:t xml:space="preserve">平板拖车车底打螺丝底模</x:t>
  </x:si>
  <x:si>
    <x:t xml:space="preserve">平板拖车车胎冲轮皮夹具</x:t>
  </x:si>
  <x:si>
    <x:t xml:space="preserve">平板拖车车芯装轮胎夹具</x:t>
  </x:si>
  <x:si>
    <x:t xml:space="preserve">平板拖车后车轮气压机</x:t>
  </x:si>
  <x:si>
    <x:t xml:space="preserve">平板拖车千斤顶把手压四方轴夹具</x:t>
  </x:si>
  <x:si>
    <x:t xml:space="preserve">平板拖车千斤顶轮压四方轴夹具</x:t>
  </x:si>
  <x:si>
    <x:t xml:space="preserve">平板拖车上侧门冲压夹具</x:t>
  </x:si>
  <x:si>
    <x:t xml:space="preserve">平板拖车左右侧门冲压夹具</x:t>
  </x:si>
  <x:si>
    <x:t xml:space="preserve">平车单边压脚（右单边）</x:t>
  </x:si>
  <x:si>
    <x:t xml:space="preserve">平车单边压脚（左单边）</x:t>
  </x:si>
  <x:si>
    <x:t xml:space="preserve">平车高低压脚（右高）</x:t>
  </x:si>
  <x:si>
    <x:t xml:space="preserve">平车高低压脚（左高）</x:t>
  </x:si>
  <x:si>
    <x:t xml:space="preserve">平车滚轮压脚(麻花轮）</x:t>
  </x:si>
  <x:si>
    <x:t xml:space="preserve">平车滚轮压脚（橡胶轮）</x:t>
  </x:si>
  <x:si>
    <x:t xml:space="preserve">平车上拉链压脚（右宽）</x:t>
  </x:si>
  <x:si>
    <x:t xml:space="preserve">平车上拉链压脚（左宽）</x:t>
  </x:si>
  <x:si>
    <x:t xml:space="preserve">平车松紧带压脚</x:t>
  </x:si>
  <x:si>
    <x:t xml:space="preserve">平车牙签压脚</x:t>
  </x:si>
  <x:si>
    <x:t xml:space="preserve">平卡</x:t>
  </x:si>
  <x:si>
    <x:t xml:space="preserve">平面加强卡</x:t>
  </x:si>
  <x:si>
    <x:t xml:space="preserve">平面钳</x:t>
  </x:si>
  <x:si>
    <x:t xml:space="preserve">弹力胶钉45MM</x:t>
  </x:si>
  <x:si>
    <x:t xml:space="preserve">弹力胶钉75MM</x:t>
  </x:si>
  <x:si>
    <x:t xml:space="preserve">普通双面拷贝纸</x:t>
  </x:si>
  <x:si>
    <x:t xml:space="preserve">0|0|纸制|长方形|L250*W250MM</x:t>
  </x:si>
  <x:si>
    <x:t xml:space="preserve">气动剪刀支架</x:t>
  </x:si>
  <x:si>
    <x:t xml:space="preserve">0|0|工业注塑机用|无可锻性铸铁</x:t>
  </x:si>
  <x:si>
    <x:t xml:space="preserve">气动剪钳</x:t>
  </x:si>
  <x:si>
    <x:t xml:space="preserve">1|0|气动|手提式|VLS|SN10 FN3AL</x:t>
  </x:si>
  <x:si>
    <x:t xml:space="preserve">气动压后轮夹具</x:t>
  </x:si>
  <x:si>
    <x:t xml:space="preserve">0|0|生产用|五金+塑胶|使用型模，装配产品</x:t>
  </x:si>
  <x:si>
    <x:t xml:space="preserve">气动压前轮夹具</x:t>
  </x:si>
  <x:si>
    <x:t xml:space="preserve">气啤机</x:t>
  </x:si>
  <x:si>
    <x:t xml:space="preserve">1|0|冲压|气动锻压|气动|力争鑫|LZX-202-1000.8mpa</x:t>
  </x:si>
  <x:si>
    <x:t xml:space="preserve">签板</x:t>
  </x:si>
  <x:si>
    <x:t xml:space="preserve">前铲臂配车身打螺丝底模</x:t>
  </x:si>
  <x:si>
    <x:t xml:space="preserve">前铲配前铲臂窝钉冲压气啤夹具</x:t>
  </x:si>
  <x:si>
    <x:t xml:space="preserve">前车身与车头盖后铰啤铁轴夹具</x:t>
  </x:si>
  <x:si>
    <x:t xml:space="preserve">前车身与车头盖前铰啤铁轴夹具</x:t>
  </x:si>
  <x:si>
    <x:t xml:space="preserve">前车身与右油箱装配打螺丝底模</x:t>
  </x:si>
  <x:si>
    <x:t xml:space="preserve">前挡打螺丝底模</x:t>
  </x:si>
  <x:si>
    <x:t xml:space="preserve">前铰上板、前铰下板和前铰固定支架装配啤铁轴夹具</x:t>
  </x:si>
  <x:si>
    <x:t xml:space="preserve">前履带轮架啤铁轴夹具</x:t>
  </x:si>
  <x:si>
    <x:t xml:space="preserve">前支撑啤卡</x:t>
  </x:si>
  <x:si>
    <x:t xml:space="preserve">枪嘴密封圈</x:t>
  </x:si>
  <x:si>
    <x:t xml:space="preserve">切槽刀杆</x:t>
  </x:si>
  <x:si>
    <x:t xml:space="preserve">3|0|通用于车床|Carpfite|MGEHR1212-2</x:t>
  </x:si>
  <x:si>
    <x:t xml:space="preserve">切槽刀片</x:t>
  </x:si>
  <x:si>
    <x:t xml:space="preserve">1|0|金属加工用|合金钢|否|KORLOY|NC3020</x:t>
  </x:si>
  <x:si>
    <x:t xml:space="preserve">切带机</x:t>
  </x:si>
  <x:si>
    <x:t xml:space="preserve">1|0|工业用|brerodqr|无型号</x:t>
  </x:si>
  <x:si>
    <x:t xml:space="preserve">切割机</x:t>
  </x:si>
  <x:si>
    <x:t xml:space="preserve">1|0|工业用|合金钢制|是|东成|J1G-FF02-355</x:t>
  </x:si>
  <x:si>
    <x:t xml:space="preserve">清洗喷头装置</x:t>
  </x:si>
  <x:si>
    <x:t xml:space="preserve">驱动板</x:t>
  </x:si>
  <x:si>
    <x:t xml:space="preserve">全自动纸箱爆破机</x:t>
  </x:si>
  <x:si>
    <x:t xml:space="preserve">1|0|耐破测量/自动加压/自动检测|纸板/卡纸耐破强度|联测仪器|SINTOYQ-360</x:t>
  </x:si>
  <x:si>
    <x:t xml:space="preserve">热收缩包装机</x:t>
  </x:si>
  <x:si>
    <x:t xml:space="preserve">0|0|包装或打包用|无牌|BS6540M-PE</x:t>
  </x:si>
  <x:si>
    <x:t xml:space="preserve">热塑性弹性体1</x:t>
  </x:si>
  <x:si>
    <x:t xml:space="preserve">1|0|透明颗粒状|聚乙烯辛烯共聚物&gt;90%，润滑
剂&lt;10%|20251201|无中文品牌，
Qain Shine牌|型号：I955VN-B1321</x:t>
  </x:si>
  <x:si>
    <x:t xml:space="preserve">热塑性弹性体</x:t>
  </x:si>
  <x:si>
    <x:t xml:space="preserve">1|0|半透明颗粒|苯乙烯-乙烯/丁烯-苯乙烯嵌 
段共聚物20~45%，软化油45~65%，聚丙烯
10~25%，抗氧剂0.1%，稳定剂0.06%
|20251015|HS/海塑|HS510-65H03</x:t>
  </x:si>
  <x:si>
    <x:t xml:space="preserve">热转印花膜</x:t>
  </x:si>
  <x:si>
    <x:t xml:space="preserve">0|0|釉转印</x:t>
  </x:si>
  <x:si>
    <x:t xml:space="preserve">软墨-C蓝色</x:t>
  </x:si>
  <x:si>
    <x:t xml:space="preserve">4|0|用途：配套UV打印机使用，达到即打即干效果||成分含量：树脂、活性稀释剂/感光性单体、着色剂、添加剂等组成||IHJ牌|||</x:t>
  </x:si>
  <x:si>
    <x:t xml:space="preserve">软墨-K黑色</x:t>
  </x:si>
  <x:si>
    <x:t xml:space="preserve">软墨-Lc浅蓝</x:t>
  </x:si>
  <x:si>
    <x:t xml:space="preserve">软墨-Lm浅红</x:t>
  </x:si>
  <x:si>
    <x:t xml:space="preserve">软墨-M红色</x:t>
  </x:si>
  <x:si>
    <x:t xml:space="preserve">软墨-V光油</x:t>
  </x:si>
  <x:si>
    <x:t xml:space="preserve">软墨-W白色</x:t>
  </x:si>
  <x:si>
    <x:t xml:space="preserve">软墨-Y黄色</x:t>
  </x:si>
  <x:si>
    <x:t xml:space="preserve">三层半边鬼头说明书</x:t>
  </x:si>
  <x:si>
    <x:t xml:space="preserve">三角形贴纸</x:t>
  </x:si>
  <x:si>
    <x:t xml:space="preserve">0|0|纸制|印制|24.53*21.6mm，强粘</x:t>
  </x:si>
  <x:si>
    <x:t xml:space="preserve">扇形胶针10mm</x:t>
  </x:si>
  <x:si>
    <x:t xml:space="preserve">扇形胶针15mm</x:t>
  </x:si>
  <x:si>
    <x:t xml:space="preserve">扇形胶针8mm</x:t>
  </x:si>
  <x:si>
    <x:t xml:space="preserve">绳子</x:t>
  </x:si>
  <x:si>
    <x:t xml:space="preserve">食物盒</x:t>
  </x:si>
  <x:si>
    <x:t xml:space="preserve">收藏卡-FSC</x:t>
  </x:si>
  <x:si>
    <x:t xml:space="preserve">0|0|纸制|印制|41*28*10</x:t>
  </x:si>
  <x:si>
    <x:t xml:space="preserve">收割机成品签板</x:t>
  </x:si>
  <x:si>
    <x:t xml:space="preserve">收割机出料管打螺丝底模</x:t>
  </x:si>
  <x:si>
    <x:t xml:space="preserve">收割机驾驶室顶签板</x:t>
  </x:si>
  <x:si>
    <x:t xml:space="preserve">收割机料斗配驾驶室打螺丝底模</x:t>
  </x:si>
  <x:si>
    <x:t xml:space="preserve">收割机塑胶成品</x:t>
  </x:si>
  <x:si>
    <x:t xml:space="preserve">收割机头出料管签板</x:t>
  </x:si>
  <x:si>
    <x:t xml:space="preserve">收割机头窝钉冲压模</x:t>
  </x:si>
  <x:si>
    <x:t xml:space="preserve">收割机头支撑啤卡</x:t>
  </x:si>
  <x:si>
    <x:t xml:space="preserve">收割机右车身签板</x:t>
  </x:si>
  <x:si>
    <x:t xml:space="preserve">收割机左车身签板</x:t>
  </x:si>
  <x:si>
    <x:t xml:space="preserve">收割机左右身打螺丝底模</x:t>
  </x:si>
  <x:si>
    <x:t xml:space="preserve">收割机座椅配方向盘打螺丝底模</x:t>
  </x:si>
  <x:si>
    <x:t xml:space="preserve">收缩袋</x:t>
  </x:si>
  <x:si>
    <x:t xml:space="preserve">0|0|玩具包装生产用|塑料料制|无牌|无型号||</x:t>
  </x:si>
  <x:si>
    <x:t xml:space="preserve">手柄</x:t>
  </x:si>
  <x:si>
    <x:t xml:space="preserve">手持式热吹风</x:t>
  </x:si>
  <x:si>
    <x:t xml:space="preserve">1|0|电驱动|是|长寿|CS-700B</x:t>
  </x:si>
  <x:si>
    <x:t xml:space="preserve">手动台面胶纸机</x:t>
  </x:si>
  <x:si>
    <x:t xml:space="preserve">1|0|粘胶纸|卓鑫兴|无型号</x:t>
  </x:si>
  <x:si>
    <x:t xml:space="preserve">手拉液压叉车</x:t>
  </x:si>
  <x:si>
    <x:t xml:space="preserve">1|0|搬运货物|靠人力|兄迪|无型号|200MM|3000KG</x:t>
  </x:si>
  <x:si>
    <x:t xml:space="preserve">输出齿啤光轴夹具</x:t>
  </x:si>
  <x:si>
    <x:t xml:space="preserve">竖支撑卡</x:t>
  </x:si>
  <x:si>
    <x:t xml:space="preserve">双层齿啤光轴夹具</x:t>
  </x:si>
  <x:si>
    <x:t xml:space="preserve">双面布标1</x:t>
  </x:si>
  <x:si>
    <x:t xml:space="preserve">双面布标2</x:t>
  </x:si>
  <x:si>
    <x:t xml:space="preserve">双针车机针</x:t>
  </x:si>
  <x:si>
    <x:t xml:space="preserve">1|0|通用于工业缝纫机|ORGAN|DP×5</x:t>
  </x:si>
  <x:si>
    <x:t xml:space="preserve">双轴承修边刀</x:t>
  </x:si>
  <x:si>
    <x:t xml:space="preserve">0|0|木器加工用|不锈钢制|无牌|无型号</x:t>
  </x:si>
  <x:si>
    <x:t xml:space="preserve">水管套装塑胶成品</x:t>
  </x:si>
  <x:si>
    <x:t xml:space="preserve">水箱打螺丝底模</x:t>
  </x:si>
  <x:si>
    <x:t xml:space="preserve">瞬间胶</x:t>
  </x:si>
  <x:si>
    <x:t xml:space="preserve">0|0|塑料制品粘接||20G/支，50支/盒，100支(2盒）||氰基丙烯酸酯100%|东丽牌|型号：DL-87M</x:t>
  </x:si>
  <x:si>
    <x:t xml:space="preserve">说明书</x:t>
  </x:si>
  <x:si>
    <x:t xml:space="preserve">0|0|玩具用，无商业价值|</x:t>
  </x:si>
  <x:si>
    <x:t xml:space="preserve">说明书FSC</x:t>
  </x:si>
  <x:si>
    <x:t xml:space="preserve">说明书签板</x:t>
  </x:si>
  <x:si>
    <x:t xml:space="preserve">四角边封箱机</x:t>
  </x:si>
  <x:si>
    <x:t xml:space="preserve">1|0|工业封纸箱用|宝石兴|BSX800-9L</x:t>
  </x:si>
  <x:si>
    <x:t xml:space="preserve">塑胶PVC前幅丝印</x:t>
  </x:si>
  <x:si>
    <x:t xml:space="preserve">塑胶白色PVC扣*2</x:t>
  </x:si>
  <x:si>
    <x:t xml:space="preserve">塑胶红色心形宝石</x:t>
  </x:si>
  <x:si>
    <x:t xml:space="preserve">品牌类型：0 出口享惠情况:0 品牌：无牌 用途：生产玩具用 种类:心形宝石</x:t>
  </x:si>
  <x:si>
    <x:t xml:space="preserve">塑胶件</x:t>
  </x:si>
  <x:si>
    <x:t xml:space="preserve">0|0|塑胶玩具配件|无牌</x:t>
  </x:si>
  <x:si>
    <x:t xml:space="preserve">塑胶玩具</x:t>
  </x:si>
  <x:si>
    <x:t xml:space="preserve">0|0|杯子|无牌/无中文名称|货号：L27870C1||</x:t>
  </x:si>
  <x:si>
    <x:t xml:space="preserve">塑胶玩具配件</x:t>
  </x:si>
  <x:si>
    <x:t xml:space="preserve">塑料可调缩皱压脚</x:t>
  </x:si>
  <x:si>
    <x:t xml:space="preserve">1|0|通用于工业缝纫机|塑胶|注塑</x:t>
  </x:si>
  <x:si>
    <x:t xml:space="preserve">塑料压脚</x:t>
  </x:si>
  <x:si>
    <x:t xml:space="preserve">锁按制底模</x:t>
  </x:si>
  <x:si>
    <x:t xml:space="preserve">锁边车机针</x:t>
  </x:si>
  <x:si>
    <x:t xml:space="preserve">1|0|通用于工业缝纫机|ORGAN|DC×1</x:t>
  </x:si>
  <x:si>
    <x:t xml:space="preserve">锁匙 模具</x:t>
  </x:si>
  <x:si>
    <x:t xml:space="preserve">锁匙底模</x:t>
  </x:si>
  <x:si>
    <x:t xml:space="preserve">台球杆</x:t>
  </x:si>
  <x:si>
    <x:t xml:space="preserve">台式钻床</x:t>
  </x:si>
  <x:si>
    <x:t xml:space="preserve">0|0|工业用|铁|是|无牌|无型号</x:t>
  </x:si>
  <x:si>
    <x:t xml:space="preserve">台湾圣耐尔气动打磨机</x:t>
  </x:si>
  <x:si>
    <x:t xml:space="preserve">1|0|金属加工用|打磨|铁、铝合金|雨川|YC-380A</x:t>
  </x:si>
  <x:si>
    <x:t xml:space="preserve">碳性电池</x:t>
  </x:si>
  <x:si>
    <x:t xml:space="preserve">搪胶件</x:t>
  </x:si>
  <x:si>
    <x:t xml:space="preserve">天天CDU</x:t>
  </x:si>
  <x:si>
    <x:t xml:space="preserve">天天吊牌</x:t>
  </x:si>
  <x:si>
    <x:t xml:space="preserve">填充卡</x:t>
  </x:si>
  <x:si>
    <x:t xml:space="preserve">条码贴纸</x:t>
  </x:si>
  <x:si>
    <x:t xml:space="preserve">0|0|纸制|印制|规格：41*13mm</x:t>
  </x:si>
  <x:si>
    <x:t xml:space="preserve">贴贴纸夹具</x:t>
  </x:si>
  <x:si>
    <x:t xml:space="preserve">贴纸</x:t>
  </x:si>
  <x:si>
    <x:t xml:space="preserve">0|0|纸制|印制|134.4*28mm</x:t>
  </x:si>
  <x:si>
    <x:t xml:space="preserve">贴纸-FSC</x:t>
  </x:si>
  <x:si>
    <x:t xml:space="preserve">0|0|纸制|印制|76.5mm*32.5mm</x:t>
  </x:si>
  <x:si>
    <x:t xml:space="preserve">铁焊条</x:t>
  </x:si>
  <x:si>
    <x:t xml:space="preserve">1|0|电弧焊|硬质合金|焊条|以焊剂为芯|申嘉焊材|SS·Z308</x:t>
  </x:si>
  <x:si>
    <x:t xml:space="preserve">通风面板装配打胶水夹具</x:t>
  </x:si>
  <x:si>
    <x:t xml:space="preserve">通心粉纸盒</x:t>
  </x:si>
  <x:si>
    <x:t xml:space="preserve">同步带</x:t>
  </x:si>
  <x:si>
    <x:t xml:space="preserve">头与大身固定夹具</x:t>
  </x:si>
  <x:si>
    <x:t xml:space="preserve">头与帽子固定夹具</x:t>
  </x:si>
  <x:si>
    <x:t xml:space="preserve">透明PET垫片</x:t>
  </x:si>
  <x:si>
    <x:t xml:space="preserve">0|1|装配玩具生产用|塑胶料制|无牌|无型号||</x:t>
  </x:si>
  <x:si>
    <x:t xml:space="preserve">透明面罩</x:t>
  </x:si>
  <x:si>
    <x:t xml:space="preserve">拖车绑咭-FSC</x:t>
  </x:si>
  <x:si>
    <x:t xml:space="preserve">椭圆PETG镜片</x:t>
  </x:si>
  <x:si>
    <x:t xml:space="preserve">外钢针</x:t>
  </x:si>
  <x:si>
    <x:t xml:space="preserve">碗仔密封圈</x:t>
  </x:si>
  <x:si>
    <x:t xml:space="preserve">万能测试架</x:t>
  </x:si>
  <x:si>
    <x:t xml:space="preserve">0|0|测试架|无牌</x:t>
  </x:si>
  <x:si>
    <x:t xml:space="preserve">网袋</x:t>
  </x:si>
  <x:si>
    <x:t xml:space="preserve">0|0|玩具装配用|PP+PE|无牌|无型号</x:t>
  </x:si>
  <x:si>
    <x:t xml:space="preserve">网格双面胶</x:t>
  </x:si>
  <x:si>
    <x:t xml:space="preserve">0|0|工业用|带|成卷|单面字粘|PET基材+胶粘剂|宽30mm*长50m|无牌|无型号</x:t>
  </x:si>
  <x:si>
    <x:t xml:space="preserve">围卡</x:t>
  </x:si>
  <x:si>
    <x:t xml:space="preserve">位移气动剪刀支架</x:t>
  </x:si>
  <x:si>
    <x:t xml:space="preserve">温度传感器k型</x:t>
  </x:si>
  <x:si>
    <x:t xml:space="preserve">温控器</x:t>
  </x:si>
  <x:si>
    <x:t xml:space="preserve">纹身机塑胶成品</x:t>
  </x:si>
  <x:si>
    <x:t xml:space="preserve">纹身机网板</x:t>
  </x:si>
  <x:si>
    <x:t xml:space="preserve">纹身贴纸1-女孩形</x:t>
  </x:si>
  <x:si>
    <x:t xml:space="preserve">0|0|纸制|印制|20.3*12.7cm</x:t>
  </x:si>
  <x:si>
    <x:t xml:space="preserve">纹身贴纸2-闪电形</x:t>
  </x:si>
  <x:si>
    <x:t xml:space="preserve">纹身贴纸3-雪花形</x:t>
  </x:si>
  <x:si>
    <x:t xml:space="preserve">问答方块吸塑底托</x:t>
  </x:si>
  <x:si>
    <x:t xml:space="preserve">0|3|装配玩具生产用|塑胶料制|无牌|无型号</x:t>
  </x:si>
  <x:si>
    <x:t xml:space="preserve">问答块超声上下模</x:t>
  </x:si>
  <x:si>
    <x:t xml:space="preserve">问答块周转吸塑</x:t>
  </x:si>
  <x:si>
    <x:t xml:space="preserve">钨钢铣刀</x:t>
  </x:si>
  <x:si>
    <x:t xml:space="preserve">无纺布</x:t>
  </x:si>
  <x:si>
    <x:t xml:space="preserve">0|0|织造方法：机织，经编|涤纶100%|幅宽：63英寸</x:t>
  </x:si>
  <x:si>
    <x:t xml:space="preserve">五金配件</x:t>
  </x:si>
  <x:si>
    <x:t xml:space="preserve">吸料机</x:t>
  </x:si>
  <x:si>
    <x:t xml:space="preserve">0|0|电动|无牌|PQ-900L</x:t>
  </x:si>
  <x:si>
    <x:t xml:space="preserve">吸塑底</x:t>
  </x:si>
  <x:si>
    <x:t xml:space="preserve">吸塑底托</x:t>
  </x:si>
  <x:si>
    <x:t xml:space="preserve">吸塑-顶托</x:t>
  </x:si>
  <x:si>
    <x:t xml:space="preserve">吸塑隔离块</x:t>
  </x:si>
  <x:si>
    <x:t xml:space="preserve">吸塑咭</x:t>
  </x:si>
  <x:si>
    <x:t xml:space="preserve">吸塑卡-FSC</x:t>
  </x:si>
  <x:si>
    <x:t xml:space="preserve">吸塑面</x:t>
  </x:si>
  <x:si>
    <x:t xml:space="preserve">吸塑面罩</x:t>
  </x:si>
  <x:si>
    <x:t xml:space="preserve">吸塑模</x:t>
  </x:si>
  <x:si>
    <x:t xml:space="preserve">吸塑片</x:t>
  </x:si>
  <x:si>
    <x:t xml:space="preserve">吸塑-钱币胶片</x:t>
  </x:si>
  <x:si>
    <x:t xml:space="preserve">吸塑托</x:t>
  </x:si>
  <x:si>
    <x:t xml:space="preserve">吸塑-吸塑底</x:t>
  </x:si>
  <x:si>
    <x:t xml:space="preserve">吸塑-吸塑面</x:t>
  </x:si>
  <x:si>
    <x:t xml:space="preserve">吸塑罩</x:t>
  </x:si>
  <x:si>
    <x:t xml:space="preserve">纤维棉</x:t>
  </x:si>
  <x:si>
    <x:t xml:space="preserve">0|0|加工程度：未梳理|成分：原生0.9D*32硅PP||</x:t>
  </x:si>
  <x:si>
    <x:t xml:space="preserve">显示屏打螺丝底模</x:t>
  </x:si>
  <x:si>
    <x:t xml:space="preserve">限位感应器r轴</x:t>
  </x:si>
  <x:si>
    <x:t xml:space="preserve">线路板打螺丝一排模具</x:t>
  </x:si>
  <x:si>
    <x:t xml:space="preserve">线头剪</x:t>
  </x:si>
  <x:si>
    <x:t xml:space="preserve">1|0|工业裁缝用|合金钢|万恒|WH303</x:t>
  </x:si>
  <x:si>
    <x:t xml:space="preserve">橡筋托吸塑</x:t>
  </x:si>
  <x:si>
    <x:t xml:space="preserve">橡筋压脚</x:t>
  </x:si>
  <x:si>
    <x:t xml:space="preserve">消毒柜</x:t>
  </x:si>
  <x:si>
    <x:t xml:space="preserve">1|0|餐具消毒用|康宝牌|1630mm||</x:t>
  </x:si>
  <x:si>
    <x:t xml:space="preserve">小号尖嘴钳</x:t>
  </x:si>
  <x:si>
    <x:t xml:space="preserve">1|0|工具|合金钢|FEIBAO|F01-205</x:t>
  </x:si>
  <x:si>
    <x:t xml:space="preserve">小号抛光头</x:t>
  </x:si>
  <x:si>
    <x:t xml:space="preserve">0|0|通用于气动打磨机|无品牌|BMS-300</x:t>
  </x:si>
  <x:si>
    <x:t xml:space="preserve">小夹子</x:t>
  </x:si>
  <x:si>
    <x:t xml:space="preserve">小胶针枪</x:t>
  </x:si>
  <x:si>
    <x:t xml:space="preserve">0|0|锂电驱动|是|无牌|A3802</x:t>
  </x:si>
  <x:si>
    <x:t xml:space="preserve">小毛笔</x:t>
  </x:si>
  <x:si>
    <x:t xml:space="preserve">小面皮 超大自动机模</x:t>
  </x:si>
  <x:si>
    <x:t xml:space="preserve">小面皮 中边模</x:t>
  </x:si>
  <x:si>
    <x:t xml:space="preserve">小溶胶枪</x:t>
  </x:si>
  <x:si>
    <x:t xml:space="preserve">1|0|电驱动|是|焊宝|HL-E20</x:t>
  </x:si>
  <x:si>
    <x:t xml:space="preserve">小吸塑片</x:t>
  </x:si>
  <x:si>
    <x:t xml:space="preserve">小鱼超声摸</x:t>
  </x:si>
  <x:si>
    <x:t xml:space="preserve">循环泵</x:t>
  </x:si>
  <x:si>
    <x:t xml:space="preserve">压风叶上下模具</x:t>
  </x:si>
  <x:si>
    <x:t xml:space="preserve">压力阀门</x:t>
  </x:si>
  <x:si>
    <x:t xml:space="preserve">1|0|工业用|FF|A28H-16</x:t>
  </x:si>
  <x:si>
    <x:t xml:space="preserve">压铁轴入风叶盖上下模具</x:t>
  </x:si>
  <x:si>
    <x:t xml:space="preserve">压线卡</x:t>
  </x:si>
  <x:si>
    <x:t xml:space="preserve">牙箱盖打螺丝模具</x:t>
  </x:si>
  <x:si>
    <x:t xml:space="preserve">牙箱盖内打铁轴模具</x:t>
  </x:si>
  <x:si>
    <x:t xml:space="preserve">牙箱啤T钉夹具</x:t>
  </x:si>
  <x:si>
    <x:t xml:space="preserve">牙箱偏心轮啤T钉夹具（右）</x:t>
  </x:si>
  <x:si>
    <x:t xml:space="preserve">牙箱偏心轮啤T钉夹具（左）</x:t>
  </x:si>
  <x:si>
    <x:t xml:space="preserve">羊毛抛光球1</x:t>
  </x:si>
  <x:si>
    <x:t xml:space="preserve">1|0|适配大多数主流品牌的手持电动工具|Jolirapiu|无型号</x:t>
  </x:si>
  <x:si>
    <x:t xml:space="preserve">羊毛抛光球2</x:t>
  </x:si>
  <x:si>
    <x:t xml:space="preserve">样板</x:t>
  </x:si>
  <x:si>
    <x:t xml:space="preserve">遥控灯电子板</x:t>
  </x:si>
  <x:si>
    <x:t xml:space="preserve">液晶显示屏</x:t>
  </x:si>
  <x:si>
    <x:t xml:space="preserve">0|0|生产用|利用电源，实现图像显示|无牌|无型号|70300TRP，LCD尺寸: 57.5x23/21x2.8mm</x:t>
  </x:si>
  <x:si>
    <x:t xml:space="preserve">一字型封箱机</x:t>
  </x:si>
  <x:si>
    <x:t xml:space="preserve">1|0|工业封纸箱用|宝石兴|BSX800-1</x:t>
  </x:si>
  <x:si>
    <x:t xml:space="preserve">衣架</x:t>
  </x:si>
  <x:si>
    <x:t xml:space="preserve">0|0|塑胶件S472衣架|无牌</x:t>
  </x:si>
  <x:si>
    <x:t xml:space="preserve">移印底模</x:t>
  </x:si>
  <x:si>
    <x:t xml:space="preserve">移印钢板</x:t>
  </x:si>
  <x:si>
    <x:t xml:space="preserve">0|0|非工业用|钢铁制|冲压</x:t>
  </x:si>
  <x:si>
    <x:t xml:space="preserve">印蝴蝶绣花章</x:t>
  </x:si>
  <x:si>
    <x:t xml:space="preserve">印甲虫绣花章</x:t>
  </x:si>
  <x:si>
    <x:t xml:space="preserve">印蚂蚁绣花章</x:t>
  </x:si>
  <x:si>
    <x:t xml:space="preserve">印毛毛虫绣花章</x:t>
  </x:si>
  <x:si>
    <x:t xml:space="preserve">印蜜峰绣花章</x:t>
  </x:si>
  <x:si>
    <x:t xml:space="preserve">硬墨-C蓝色</x:t>
  </x:si>
  <x:si>
    <x:t xml:space="preserve">硬墨-K黑色</x:t>
  </x:si>
  <x:si>
    <x:t xml:space="preserve">硬墨-Lc浅蓝</x:t>
  </x:si>
  <x:si>
    <x:t xml:space="preserve">硬墨-Lm浅红</x:t>
  </x:si>
  <x:si>
    <x:t xml:space="preserve">硬墨-M红色</x:t>
  </x:si>
  <x:si>
    <x:t xml:space="preserve">硬墨-V光油</x:t>
  </x:si>
  <x:si>
    <x:t xml:space="preserve">硬墨-W白色</x:t>
  </x:si>
  <x:si>
    <x:t xml:space="preserve">硬墨-Y黄色</x:t>
  </x:si>
  <x:si>
    <x:t xml:space="preserve">硬墨-清洗液</x:t>
  </x:si>
  <x:si>
    <x:t xml:space="preserve">泳游圈面超声模夹具</x:t>
  </x:si>
  <x:si>
    <x:t xml:space="preserve">油箱平台与左油箱装配打胶水保压夹具（1出4）</x:t>
  </x:si>
  <x:si>
    <x:t xml:space="preserve">油箱平台与左油箱装配打胶水夹具</x:t>
  </x:si>
  <x:si>
    <x:t xml:space="preserve">油性拷贝纸</x:t>
  </x:si>
  <x:si>
    <x:t xml:space="preserve">0|0|纸制|印制|55*36cm</x:t>
  </x:si>
  <x:si>
    <x:t xml:space="preserve">油性雪梨纸</x:t>
  </x:si>
  <x:si>
    <x:t xml:space="preserve">0|0|纸制|长方形|L1194*889MM</x:t>
  </x:si>
  <x:si>
    <x:t xml:space="preserve">油性雪梨纸530*370MM</x:t>
  </x:si>
  <x:si>
    <x:t xml:space="preserve">0|0|纸制|长方形|560MM*270MM</x:t>
  </x:si>
  <x:si>
    <x:t xml:space="preserve">游泳马里奥 大合叶模</x:t>
  </x:si>
  <x:si>
    <x:t xml:space="preserve">游泳马里奥 大夹模</x:t>
  </x:si>
  <x:si>
    <x:t xml:space="preserve">游泳马里奥 中边模</x:t>
  </x:si>
  <x:si>
    <x:t xml:space="preserve">游泳马里奥 中合叶模</x:t>
  </x:si>
  <x:si>
    <x:t xml:space="preserve">右车轮打螺丝底模</x:t>
  </x:si>
  <x:si>
    <x:t xml:space="preserve">右脚超声模</x:t>
  </x:si>
  <x:si>
    <x:t xml:space="preserve">右脚打介子螺丝底模</x:t>
  </x:si>
  <x:si>
    <x:t xml:space="preserve">右手超声摸</x:t>
  </x:si>
  <x:si>
    <x:t xml:space="preserve">右烟囱啤T钉夹具</x:t>
  </x:si>
  <x:si>
    <x:t xml:space="preserve">右烟囱与右油箱装配打螺丝底模</x:t>
  </x:si>
  <x:si>
    <x:t xml:space="preserve">右烟囱装配打螺丝</x:t>
  </x:si>
  <x:si>
    <x:t xml:space="preserve">右油箱盖热烫底模</x:t>
  </x:si>
  <x:si>
    <x:t xml:space="preserve">与泳游圈底超声模夹具</x:t>
  </x:si>
  <x:si>
    <x:t xml:space="preserve">圆柄钳</x:t>
  </x:si>
  <x:si>
    <x:t xml:space="preserve">圆卡-FSC</x:t>
  </x:si>
  <x:si>
    <x:t xml:space="preserve">圆轮后轮签板</x:t>
  </x:si>
  <x:si>
    <x:t xml:space="preserve">圆轮前轮签板</x:t>
  </x:si>
  <x:si>
    <x:t xml:space="preserve">圆形LOGO贴纸</x:t>
  </x:si>
  <x:si>
    <x:t xml:space="preserve">0|0|纸制|印制|30mm*30mm</x:t>
  </x:si>
  <x:si>
    <x:t xml:space="preserve">圆形PETG镜片</x:t>
  </x:si>
  <x:si>
    <x:t xml:space="preserve">圆形杯超声上下模</x:t>
  </x:si>
  <x:si>
    <x:t xml:space="preserve">越野车车底打PCB底模</x:t>
  </x:si>
  <x:si>
    <x:t xml:space="preserve">越野车车底压电池片夹具</x:t>
  </x:si>
  <x:si>
    <x:t xml:space="preserve">越野车车顶打车顶架螺丝底模</x:t>
  </x:si>
  <x:si>
    <x:t xml:space="preserve">越野车车斗、车斗护栏打螺丝底模</x:t>
  </x:si>
  <x:si>
    <x:t xml:space="preserve">越野车车架打座椅 、滤气管螺丝底模</x:t>
  </x:si>
  <x:si>
    <x:t xml:space="preserve">越野车车轮冲轮皮夹具（后）</x:t>
  </x:si>
  <x:si>
    <x:t xml:space="preserve">越野车车轮冲轮皮夹具（前）</x:t>
  </x:si>
  <x:si>
    <x:t xml:space="preserve">越野车车轮装轮胎夹具（后）</x:t>
  </x:si>
  <x:si>
    <x:t xml:space="preserve">越野车车轮装轮胎夹具（前）</x:t>
  </x:si>
  <x:si>
    <x:t xml:space="preserve">越野车车头、车架打车顶架螺丝底模</x:t>
  </x:si>
  <x:si>
    <x:t xml:space="preserve">越野车车头打仪表台螺丝底模</x:t>
  </x:si>
  <x:si>
    <x:t xml:space="preserve">越野车打车底盘螺丝底模</x:t>
  </x:si>
  <x:si>
    <x:t xml:space="preserve">越野车底模</x:t>
  </x:si>
  <x:si>
    <x:t xml:space="preserve">越野车电池盖打介子底模</x:t>
  </x:si>
  <x:si>
    <x:t xml:space="preserve">越野车钢板</x:t>
  </x:si>
  <x:si>
    <x:t xml:space="preserve">越野车后轮冲压夹具</x:t>
  </x:si>
  <x:si>
    <x:t xml:space="preserve">越野车螺母塞热烫夹具</x:t>
  </x:si>
  <x:si>
    <x:t xml:space="preserve">越野车头连杆打喇叭、喇叭压盖螺丝底模</x:t>
  </x:si>
  <x:si>
    <x:t xml:space="preserve">越野车尾箱压搓花轴夹具</x:t>
  </x:si>
  <x:si>
    <x:t xml:space="preserve">越野车吸塑托</x:t>
  </x:si>
  <x:si>
    <x:t xml:space="preserve">越野车右前轮转向打螺丝底模
</x:t>
  </x:si>
  <x:si>
    <x:t xml:space="preserve">越野车转向轴压方向盘夹具</x:t>
  </x:si>
  <x:si>
    <x:t xml:space="preserve">越野车左前轮转向打螺丝底模
</x:t>
  </x:si>
  <x:si>
    <x:t xml:space="preserve">云朵超声上下模</x:t>
  </x:si>
  <x:si>
    <x:t xml:space="preserve">扎带</x:t>
  </x:si>
  <x:si>
    <x:t xml:space="preserve">珍珠棉</x:t>
  </x:si>
  <x:si>
    <x:t xml:space="preserve">0|0|聚乙烯|片状|是|泡沫塑料|填充材料、防护材料|400*300MM，厚度1.0mm|无牌|无型号</x:t>
  </x:si>
  <x:si>
    <x:t xml:space="preserve">真空吸盘</x:t>
  </x:si>
  <x:si>
    <x:t xml:space="preserve">支撑啤卡</x:t>
  </x:si>
  <x:si>
    <x:t xml:space="preserve">直柄焊枪</x:t>
  </x:si>
  <x:si>
    <x:t xml:space="preserve">1|0|工业用|合金钢制|是|ANSHUN|936A</x:t>
  </x:si>
  <x:si>
    <x:t xml:space="preserve">纸咭</x:t>
  </x:si>
  <x:si>
    <x:t xml:space="preserve">纸绳1.2MM</x:t>
  </x:si>
  <x:si>
    <x:t xml:space="preserve">0|0|纸制|长条型|1.2mm</x:t>
  </x:si>
  <x:si>
    <x:t xml:space="preserve">纸绳1.5MM</x:t>
  </x:si>
  <x:si>
    <x:t xml:space="preserve">0|0|材质：纸制|长条形|成卷7000米||</x:t>
  </x:si>
  <x:si>
    <x:t xml:space="preserve">纸绳1.6MM</x:t>
  </x:si>
  <x:si>
    <x:t xml:space="preserve">0|0|纸制|长条型|1.6mm</x:t>
  </x:si>
  <x:si>
    <x:t xml:space="preserve">纸绳1MM</x:t>
  </x:si>
  <x:si>
    <x:t xml:space="preserve">0|0|纸制|长条型|1mm</x:t>
  </x:si>
  <x:si>
    <x:t xml:space="preserve">纸绳2.0MM</x:t>
  </x:si>
  <x:si>
    <x:t xml:space="preserve">0|0|纸制|长条型|2.0mm</x:t>
  </x:si>
  <x:si>
    <x:t xml:space="preserve">纸绳3.0MM</x:t>
  </x:si>
  <x:si>
    <x:t xml:space="preserve">0|0|材质：纸制|长条形|成卷42000米||</x:t>
  </x:si>
  <x:si>
    <x:t xml:space="preserve">纸绳-3.0MM</x:t>
  </x:si>
  <x:si>
    <x:t xml:space="preserve">0|0|纸制|长条型|3.0MM</x:t>
  </x:si>
  <x:si>
    <x:t xml:space="preserve">纸箱</x:t>
  </x:si>
  <x:si>
    <x:t xml:space="preserve">纸箱内支撑卡</x:t>
  </x:si>
  <x:si>
    <x:t xml:space="preserve">0|0|纸制|印制|490mm*168mm</x:t>
  </x:si>
  <x:si>
    <x:t xml:space="preserve">中边模</x:t>
  </x:si>
  <x:si>
    <x:t xml:space="preserve">中夹模</x:t>
  </x:si>
  <x:si>
    <x:t xml:space="preserve">中间加强卡</x:t>
  </x:si>
  <x:si>
    <x:t xml:space="preserve">终端扫码器</x:t>
  </x:si>
  <x:si>
    <x:t xml:space="preserve">0|0|无牌|无型号</x:t>
  </x:si>
  <x:si>
    <x:t xml:space="preserve">周转托盘吸塑</x:t>
  </x:si>
  <x:si>
    <x:t xml:space="preserve">注塑机模具</x:t>
  </x:si>
  <x:si>
    <x:t xml:space="preserve">0|0|制造塑胶制品|塑胶类|无品牌|MK-KIT8-101132/101133-1|材质：钢材|将材料注入模具，模具自动成型，然后产出成型的产品</x:t>
  </x:si>
  <x:si>
    <x:t xml:space="preserve">注塑机配件</x:t>
  </x:si>
  <x:si>
    <x:t xml:space="preserve">0|0|工业用，用于注塑机|无牌|无型号</x:t>
  </x:si>
  <x:si>
    <x:t xml:space="preserve">注塑机圆形发热圈 </x:t>
  </x:si>
  <x:si>
    <x:t xml:space="preserve">转移膜－金色</x:t>
  </x:si>
  <x:si>
    <x:t xml:space="preserve">转移膜－银色</x:t>
  </x:si>
  <x:si>
    <x:t xml:space="preserve">转移膜－紫色渐变色</x:t>
  </x:si>
  <x:si>
    <x:t xml:space="preserve">装配发条夹具</x:t>
  </x:si>
  <x:si>
    <x:t xml:space="preserve">装载机车底签板</x:t>
  </x:si>
  <x:si>
    <x:t xml:space="preserve">装载机车电池盖打螺丝底模</x:t>
  </x:si>
  <x:si>
    <x:t xml:space="preserve">装载机车轮气啤机夹具(一次啤4个)</x:t>
  </x:si>
  <x:si>
    <x:t xml:space="preserve">装载机车轮气啤夹具(一次啤4个)</x:t>
  </x:si>
  <x:si>
    <x:t xml:space="preserve">装载机车轮签板</x:t>
  </x:si>
  <x:si>
    <x:t xml:space="preserve">装载机车身签板</x:t>
  </x:si>
  <x:si>
    <x:t xml:space="preserve">装载机成品签板</x:t>
  </x:si>
  <x:si>
    <x:t xml:space="preserve">装载机发动机盖签板</x:t>
  </x:si>
  <x:si>
    <x:t xml:space="preserve">装载机驾驶室签板</x:t>
  </x:si>
  <x:si>
    <x:t xml:space="preserve">装载机前铲臂配左、右座窝钉手啤模</x:t>
  </x:si>
  <x:si>
    <x:t xml:space="preserve">装载机前铲臂签板</x:t>
  </x:si>
  <x:si>
    <x:t xml:space="preserve">装载机前铲配前铲臂窝钉冲压气啤夹具</x:t>
  </x:si>
  <x:si>
    <x:t xml:space="preserve">子板</x:t>
  </x:si>
  <x:si>
    <x:t xml:space="preserve">子母扣5寸</x:t>
  </x:si>
  <x:si>
    <x:t xml:space="preserve">子母扣绳圆头</x:t>
  </x:si>
  <x:si>
    <x:t xml:space="preserve">0|0|固定产品|塑料胶制|无牌|无型号</x:t>
  </x:si>
  <x:si>
    <x:t xml:space="preserve">自动焊枪</x:t>
  </x:si>
  <x:si>
    <x:t xml:space="preserve">1|0|工业用|塑胶|是|黄花高洁|DN-P80C</x:t>
  </x:si>
  <x:si>
    <x:t xml:space="preserve">自动化气动剪</x:t>
  </x:si>
  <x:si>
    <x:t xml:space="preserve">1|0|气动|手提式|VLS|LF-30</x:t>
  </x:si>
  <x:si>
    <x:t xml:space="preserve">自动麻将机</x:t>
  </x:si>
  <x:si>
    <x:t xml:space="preserve">0|0|铁、塑料|松乐</x:t>
  </x:si>
  <x:si>
    <x:t xml:space="preserve">自动台面胶纸机</x:t>
  </x:si>
  <x:si>
    <x:t xml:space="preserve">0|0|工业用|无牌|ZCUT-2</x:t>
  </x:si>
  <x:si>
    <x:t xml:space="preserve">钻头</x:t>
  </x:si>
  <x:si>
    <x:t xml:space="preserve">0|0|工业用金属加工|合金钢制|是|无牌|无型号</x:t>
  </x:si>
  <x:si>
    <x:t xml:space="preserve">左侧楼梯装配打螺丝</x:t>
  </x:si>
  <x:si>
    <x:t xml:space="preserve">左车轮打螺丝底模</x:t>
  </x:si>
  <x:si>
    <x:t xml:space="preserve">左脚超声模</x:t>
  </x:si>
  <x:si>
    <x:t xml:space="preserve">左脚打介子螺丝底模</x:t>
  </x:si>
  <x:si>
    <x:t xml:space="preserve">左前车身与工具箱装配热烫夹具</x:t>
  </x:si>
  <x:si>
    <x:t xml:space="preserve">左前车身与小配件装配打螺丝底模</x:t>
  </x:si>
  <x:si>
    <x:t xml:space="preserve">左前车身装配打螺丝底模</x:t>
  </x:si>
  <x:si>
    <x:t xml:space="preserve">左手超声模</x:t>
  </x:si>
  <x:si>
    <x:t xml:space="preserve">左烟囱小管热烫夹具</x:t>
  </x:si>
  <x:si>
    <x:t xml:space="preserve">左烟囱与油箱平台装配打螺丝底模</x:t>
  </x:si>
  <x:si>
    <x:t xml:space="preserve">左烟囱装配打螺丝底模</x:t>
  </x:si>
  <x:si>
    <x:t xml:space="preserve">左右挡板装配打胶水夹具</x:t>
  </x:si>
  <x:si>
    <x:t xml:space="preserve">左右前车身装配打螺丝底模</x:t>
  </x:si>
  <x:si>
    <x:t xml:space="preserve">左右枢轴身装唧杆啤铆钉夹具</x:t>
  </x:si>
  <x:si>
    <x:t xml:space="preserve">左右枢轴身装配打螺丝底模</x:t>
  </x:si>
  <x:si>
    <x:t xml:space="preserve">座位打螺丝底模</x:t>
  </x:si>
  <x:si>
    <x:t xml:space="preserve">座椅冲压夹具</x:t>
  </x:si>
  <x:si>
    <x:t xml:space="preserve">TEL : 0760-86120185</x:t>
  </x:si>
  <x:si>
    <x:t xml:space="preserve">INVOICE </x:t>
  </x:si>
  <x:si>
    <x:t xml:space="preserve">合同号</x:t>
  </x:si>
  <x:si>
    <x:t xml:space="preserve">Date: </x:t>
  </x:si>
  <x:si>
    <x:t xml:space="preserve">清溪柜</x:t>
  </x:si>
  <x:si>
    <x:t xml:space="preserve">唛头</x:t>
  </x:si>
  <x:si>
    <x:t xml:space="preserve">数量</x:t>
  </x:si>
  <x:si>
    <x:t xml:space="preserve">数量单位</x:t>
  </x:si>
  <x:si>
    <x:t xml:space="preserve">单价</x:t>
  </x:si>
  <x:si>
    <x:t xml:space="preserve">总价</x:t>
  </x:si>
  <x:si>
    <x:t xml:space="preserve">毛重</x:t>
  </x:si>
  <x:si>
    <x:t xml:space="preserve">净重</x:t>
  </x:si>
  <x:si>
    <x:t xml:space="preserve">件数</x:t>
  </x:si>
  <x:si>
    <x:t xml:space="preserve">件数单位</x:t>
  </x:si>
  <x:si>
    <x:t xml:space="preserve">箱</x:t>
  </x:si>
  <x:si>
    <x:t xml:space="preserve">东莞市林丰橡胶制品有限公司</x:t>
  </x:si>
  <x:si>
    <x:t xml:space="preserve">总合计</x:t>
  </x:si>
  <x:si>
    <x:t xml:space="preserve">Authorized Signature(s):</x:t>
  </x:si>
  <x:si>
    <x:t xml:space="preserve">销 售 合 同</x:t>
  </x:si>
  <x:si>
    <x:t xml:space="preserve">SALES CONTRACT</x:t>
  </x:si>
  <x:si>
    <x:t xml:space="preserve">卖 方:</x:t>
  </x:si>
  <x:si>
    <x:t xml:space="preserve">合同编号  S/C No :</x:t>
  </x:si>
  <x:si>
    <x:t xml:space="preserve">Seller  :</x:t>
  </x:si>
  <x:si>
    <x:t xml:space="preserve">广东省深圳市龙华区大浪街道龙胜社区龙胜综合服务大楼602</x:t>
  </x:si>
  <x:si>
    <x:t xml:space="preserve">签订日期   DATE :</x:t>
  </x:si>
  <x:si>
    <x:t xml:space="preserve">买 方:</x:t>
  </x:si>
  <x:si>
    <x:t xml:space="preserve">PT ROYAL REGENT INDONESIA</x:t>
  </x:si>
  <x:si>
    <x:t xml:space="preserve">Buyer  :</x:t>
  </x:si>
  <x:si>
    <x:t xml:space="preserve">兹经买卖双方同意所列条款达成以下交易：</x:t>
  </x:si>
  <x:si>
    <x:t xml:space="preserve">This contract is made by and between the BUYER and SELLER, in accordance with the terms and conditions stipulated below:</x:t>
  </x:si>
  <x:si>
    <x:t xml:space="preserve">1. 序号</x:t>
  </x:si>
  <x:si>
    <x:t xml:space="preserve">2. 商品编号</x:t>
  </x:si>
  <x:si>
    <x:t xml:space="preserve">3. 品名及规格/型号</x:t>
  </x:si>
  <x:si>
    <x:t xml:space="preserve">4. 数量</x:t>
  </x:si>
  <x:si>
    <x:t xml:space="preserve">5.单位</x:t>
  </x:si>
  <x:si>
    <x:t xml:space="preserve">6. 单价及价格条款</x:t>
  </x:si>
  <x:si>
    <x:t xml:space="preserve">7. 金额</x:t>
  </x:si>
  <x:si>
    <x:t xml:space="preserve">Art No.</x:t>
  </x:si>
  <x:si>
    <x:t xml:space="preserve">Commodity &amp; Specification</x:t>
  </x:si>
  <x:si>
    <x:t xml:space="preserve">QTY </x:t>
  </x:si>
  <x:si>
    <x:t xml:space="preserve"> Unit</x:t>
  </x:si>
  <x:si>
    <x:t xml:space="preserve">Unit Price / Trade Terms</x:t>
  </x:si>
  <x:si>
    <x:t xml:space="preserve">Amount</x:t>
  </x:si>
  <x:si>
    <x:t xml:space="preserve">FOB DONG GUAN</x:t>
  </x:si>
  <x:si>
    <x:t xml:space="preserve">    Total Value</x:t>
  </x:si>
  <x:si>
    <x:t xml:space="preserve">7. 包装</x:t>
  </x:si>
  <x:si>
    <x:t xml:space="preserve">8. 装运期及运输方式</x:t>
  </x:si>
  <x:si>
    <x:t xml:space="preserve">via Truck</x:t>
  </x:si>
  <x:si>
    <x:t xml:space="preserve">9 装运港及目的地</x:t>
  </x:si>
  <x:si>
    <x:t xml:space="preserve">10. 付款方式</x:t>
  </x:si>
  <x:si>
    <x:t xml:space="preserve">T/C pay, 60 days after invoice date.</x:t>
  </x:si>
  <x:si>
    <x:t xml:space="preserve">11. 备注</x:t>
  </x:si>
  <x:si>
    <x:t xml:space="preserve">未尽事宜，经双方协商解决。</x:t>
  </x:si>
  <x:si>
    <x:t xml:space="preserve">      Remarks</x:t>
  </x:si>
  <x:si>
    <x:t xml:space="preserve">E.&amp;.O.E</x:t>
  </x:si>
  <x:si>
    <x:t xml:space="preserve">The Buyer</x:t>
  </x:si>
  <x:si>
    <x:t xml:space="preserve">The Seller</x:t>
  </x:si>
  <x:si>
    <x:t xml:space="preserve">精駿企業有限公司</x:t>
  </x:si>
  <x:si>
    <x:t xml:space="preserve">ZHONG SHAN JUN TAI IMPORT&amp;EXPORT TRADING Co., LTD.</x:t>
  </x:si>
  <x:si>
    <x:t xml:space="preserve">Authorized Signature(s)</x:t>
  </x:si>
  <x:si>
    <x:t xml:space="preserve">装    箱    单</x:t>
  </x:si>
  <x:si>
    <x:t xml:space="preserve">PACKING LIST</x:t>
  </x:si>
  <x:si>
    <x:t xml:space="preserve">日 期:</x:t>
  </x:si>
  <x:si>
    <x:t xml:space="preserve">客       户</x:t>
  </x:si>
  <x:si>
    <x:t xml:space="preserve">发票编号:</x:t>
  </x:si>
  <x:si>
    <x:t xml:space="preserve">To Messrers：PT ROYAL REGENT INDONESIA</x:t>
  </x:si>
  <x:si>
    <x:t xml:space="preserve">船       名</x:t>
  </x:si>
  <x:si>
    <x:t xml:space="preserve">           至</x:t>
  </x:si>
  <x:si>
    <x:t xml:space="preserve">付    款    条    件</x:t>
  </x:si>
  <x:si>
    <x:t xml:space="preserve">Shipped by：________________   From</x:t>
  </x:si>
  <x:si>
    <x:t xml:space="preserve">            to </x:t>
  </x:si>
  <x:si>
    <x:t xml:space="preserve">Terms of Payment:__FOB_______</x:t>
  </x:si>
  <x:si>
    <x:t xml:space="preserve">项号</x:t>
  </x:si>
  <x:si>
    <x:t xml:space="preserve">货物名称及规格</x:t>
  </x:si>
  <x:si>
    <x:t xml:space="preserve">总箱数</x:t>
  </x:si>
  <x:si>
    <x:t xml:space="preserve">总数量</x:t>
  </x:si>
  <x:si>
    <x:t xml:space="preserve">总毛重</x:t>
  </x:si>
  <x:si>
    <x:t xml:space="preserve">总净重</x:t>
  </x:si>
  <x:si>
    <x:t xml:space="preserve">Ctn.No.</x:t>
  </x:si>
  <x:si>
    <x:t xml:space="preserve">Description</x:t>
  </x:si>
  <x:si>
    <x:t xml:space="preserve">Ge.Crate</x:t>
  </x:si>
  <x:si>
    <x:t xml:space="preserve">Ge.Quantity</x:t>
  </x:si>
  <x:si>
    <x:t xml:space="preserve">G.W.(KG)</x:t>
  </x:si>
  <x:si>
    <x:t xml:space="preserve">  N.W.(KG)</x:t>
  </x:si>
  <x:si>
    <x:t xml:space="preserve">Crate</x:t>
  </x:si>
  <x:si>
    <x:t xml:space="preserve">合计</x:t>
  </x:si>
  <x:si>
    <x:t xml:space="preserve">Total</x:t>
  </x:si>
  <x:si>
    <x:t xml:space="preserve">中华人民共和国海关出口货物报关单</x:t>
  </x:si>
  <x:si>
    <x:t xml:space="preserve">商检号：</x:t>
  </x:si>
  <x:si>
    <x:t xml:space="preserve">海关编号</x:t>
  </x:si>
  <x:si>
    <x:t xml:space="preserve">出口口岸</x:t>
  </x:si>
  <x:si>
    <x:t xml:space="preserve">备案号</x:t>
  </x:si>
  <x:si>
    <x:t xml:space="preserve">出口日期</x:t>
  </x:si>
  <x:si>
    <x:t xml:space="preserve">申报日期</x:t>
  </x:si>
  <x:si>
    <x:t xml:space="preserve">蛇口海关</x:t>
  </x:si>
  <x:si>
    <x:t xml:space="preserve">经营单位</x:t>
  </x:si>
  <x:si>
    <x:t xml:space="preserve">(91440300MAD2R7KL8L)</x:t>
  </x:si>
  <x:si>
    <x:t xml:space="preserve">运输方式</x:t>
  </x:si>
  <x:si>
    <x:t xml:space="preserve">运输工具名称</x:t>
  </x:si>
  <x:si>
    <x:t xml:space="preserve">提运单号</x:t>
  </x:si>
  <x:si>
    <x:t xml:space="preserve">发货单位</x:t>
  </x:si>
  <x:si>
    <x:t xml:space="preserve">贸易方式</x:t>
  </x:si>
  <x:si>
    <x:t xml:space="preserve">征免性质</x:t>
  </x:si>
  <x:si>
    <x:t xml:space="preserve">结汇方式</x:t>
  </x:si>
  <x:si>
    <x:t xml:space="preserve">一般贸易</x:t>
  </x:si>
  <x:si>
    <x:t xml:space="preserve">一般征税</x:t>
  </x:si>
  <x:si>
    <x:t xml:space="preserve">先出后结</x:t>
  </x:si>
  <x:si>
    <x:t xml:space="preserve">许可证号</x:t>
  </x:si>
  <x:si>
    <x:t xml:space="preserve">运抵国</x:t>
  </x:si>
  <x:si>
    <x:t xml:space="preserve">指运港</x:t>
  </x:si>
  <x:si>
    <x:t xml:space="preserve">境内货源地</x:t>
  </x:si>
  <x:si>
    <x:t xml:space="preserve">印度尼西亚</x:t>
  </x:si>
  <x:si>
    <x:t xml:space="preserve">深圳其他</x:t>
  </x:si>
  <x:si>
    <x:t xml:space="preserve">批准文号</x:t>
  </x:si>
  <x:si>
    <x:t xml:space="preserve">成交方式</x:t>
  </x:si>
  <x:si>
    <x:t xml:space="preserve">运费</x:t>
  </x:si>
  <x:si>
    <x:t xml:space="preserve">杂费</x:t>
  </x:si>
  <x:si>
    <x:t xml:space="preserve">FOB</x:t>
  </x:si>
  <x:si>
    <x:t xml:space="preserve">合同协议号</x:t>
  </x:si>
  <x:si>
    <x:t xml:space="preserve">包装种类</x:t>
  </x:si>
  <x:si>
    <x:t xml:space="preserve">袋/箱</x:t>
  </x:si>
  <x:si>
    <x:t xml:space="preserve">集装箱号</x:t>
  </x:si>
  <x:si>
    <x:t xml:space="preserve">随附单据</x:t>
  </x:si>
  <x:si>
    <x:t xml:space="preserve">生产厂家</x:t>
  </x:si>
  <x:si>
    <x:t xml:space="preserve">标记唛码及备注</x:t>
  </x:si>
  <x:si>
    <x:t xml:space="preserve">100%国料【申请退税】包装:袋/箱</x:t>
  </x:si>
  <x:si>
    <x:t xml:space="preserve">商品编码</x:t>
  </x:si>
  <x:si>
    <x:t xml:space="preserve">商品名称、规格型号</x:t>
  </x:si>
  <x:si>
    <x:t xml:space="preserve">数量及单位</x:t>
  </x:si>
  <x:si>
    <x:t xml:space="preserve">原产国</x:t>
  </x:si>
  <x:si>
    <x:t xml:space="preserve">最终目的国</x:t>
  </x:si>
  <x:si>
    <x:t xml:space="preserve">币制</x:t>
  </x:si>
  <x:si>
    <x:t xml:space="preserve">征免</x:t>
  </x:si>
  <x:si>
    <x:t xml:space="preserve">中国</x:t>
  </x:si>
  <x:si>
    <x:t xml:space="preserve">USD</x:t>
  </x:si>
  <x:si>
    <x:t xml:space="preserve">照章征税</x:t>
  </x:si>
  <x:si>
    <x:t xml:space="preserve">税费征收情况</x:t>
  </x:si>
  <x:si>
    <x:t xml:space="preserve">录入员                录入单位</x:t>
  </x:si>
  <x:si>
    <x:t xml:space="preserve">兹声明以上申报无讹并承担法律责任</x:t>
  </x:si>
  <x:si>
    <x:t xml:space="preserve">海关审单批注及放行日期（盖章）</x:t>
  </x:si>
  <x:si>
    <x:t xml:space="preserve">报关员</x:t>
  </x:si>
  <x:si>
    <x:t xml:space="preserve">审单</x:t>
  </x:si>
  <x:si>
    <x:t xml:space="preserve">审价</x:t>
  </x:si>
  <x:si>
    <x:t xml:space="preserve">申报单位（盖章）</x:t>
  </x:si>
  <x:si>
    <x:t xml:space="preserve">征税</x:t>
  </x:si>
  <x:si>
    <x:t xml:space="preserve">统计</x:t>
  </x:si>
  <x:si>
    <x:t xml:space="preserve">单位地址</x:t>
  </x:si>
  <x:si>
    <x:t xml:space="preserve">查验</x:t>
  </x:si>
  <x:si>
    <x:t xml:space="preserve">放行</x:t>
  </x:si>
  <x:si>
    <x:t xml:space="preserve">邮编</x:t>
  </x:si>
  <x:si>
    <x:t xml:space="preserve">电话</x:t>
  </x:si>
  <x:si>
    <x:t xml:space="preserve">填制日期</x:t>
  </x:si>
  <x:si>
    <x:t xml:space="preserve">订舱号：</x:t>
  </x:si>
  <x:si>
    <x:t xml:space="preserve">柜号：</x:t>
  </x:si>
  <x:si>
    <x:t xml:space="preserve">封条：</x:t>
  </x:si>
  <x:si>
    <x:t xml:space="preserve">柜重：</x:t>
  </x:si>
  <x:si>
    <x:t xml:space="preserve">柜型：</x:t>
  </x:si>
  <x:si>
    <x:t xml:space="preserve">司机：</x:t>
  </x:si>
  <x:si>
    <x:t xml:space="preserve">电话：</x:t>
  </x:si>
  <x:si>
    <x:t xml:space="preserve">车牌：</x:t>
  </x:si>
  <x:si>
    <x:t xml:space="preserve">原单位</x:t>
  </x:si>
  <x:si>
    <x:t xml:space="preserve">填表单位</x:t>
  </x:si>
  <x:si>
    <x:t xml:space="preserve">KGM</x:t>
  </x:si>
  <x:si>
    <x:t xml:space="preserve">千克</x:t>
  </x:si>
  <x:si>
    <x:t xml:space="preserve">TNE</x:t>
  </x:si>
  <x:si>
    <x:t xml:space="preserve">吨</x:t>
  </x:si>
  <x:si>
    <x:t xml:space="preserve">GRM</x:t>
  </x:si>
  <x:si>
    <x:t xml:space="preserve">克</x:t>
  </x:si>
  <x:si>
    <x:t xml:space="preserve">PCE</x:t>
  </x:si>
  <x:si>
    <x:t xml:space="preserve">个</x:t>
  </x:si>
  <x:si>
    <x:t xml:space="preserve">SET</x:t>
  </x:si>
  <x:si>
    <x:t xml:space="preserve">套</x:t>
  </x:si>
  <x:si>
    <x:t xml:space="preserve">PRS</x:t>
  </x:si>
  <x:si>
    <x:t xml:space="preserve">双</x:t>
  </x:si>
  <x:si>
    <x:t xml:space="preserve">DZN</x:t>
  </x:si>
  <x:si>
    <x:t xml:space="preserve">打</x:t>
  </x:si>
  <x:si>
    <x:t xml:space="preserve">BOX</x:t>
  </x:si>
  <x:si>
    <x:t xml:space="preserve">CTN</x:t>
  </x:si>
  <x:si>
    <x:t xml:space="preserve">BAG</x:t>
  </x:si>
  <x:si>
    <x:t xml:space="preserve">袋</x:t>
  </x:si>
  <x:si>
    <x:t xml:space="preserve">PKG</x:t>
  </x:si>
  <x:si>
    <x:t xml:space="preserve">件</x:t>
  </x:si>
  <x:si>
    <x:t xml:space="preserve">ROL</x:t>
  </x:si>
  <x:si>
    <x:t xml:space="preserve">卷</x:t>
  </x:si>
  <x:si>
    <x:t xml:space="preserve">MTR</x:t>
  </x:si>
  <x:si>
    <x:t xml:space="preserve">米</x:t>
  </x:si>
  <x:si>
    <x:t xml:space="preserve">MTK</x:t>
  </x:si>
  <x:si>
    <x:t xml:space="preserve">平方米</x:t>
  </x:si>
  <x:si>
    <x:t xml:space="preserve">MTQ</x:t>
  </x:si>
  <x:si>
    <x:t xml:space="preserve">立方米</x:t>
  </x:si>
  <x:si>
    <x:t xml:space="preserve">LTR</x:t>
  </x:si>
  <x:si>
    <x:t xml:space="preserve">升</x:t>
  </x:si>
  <x:si>
    <x:t xml:space="preserve">NMB</x:t>
  </x:si>
</x:sst>
</file>

<file path=xl/styles.xml><?xml version="1.0" encoding="utf-8"?>
<x:styleSheet xmlns:x="http://schemas.openxmlformats.org/spreadsheetml/2006/main">
  <x:numFmts count="37">
    <x:numFmt numFmtId="41" formatCode="_ * #,##0_ ;_ * \-#,##0_ ;_ * &quot;-&quot;_ ;_ @_ "/>
    <x:numFmt numFmtId="43" formatCode="_ * #,##0.00_ ;_ * \-#,##0.00_ ;_ * &quot;-&quot;??_ ;_ @_ "/>
    <x:numFmt numFmtId="176" formatCode="_(&quot;$&quot;* #,##0.00_);_(&quot;$&quot;* \(#,##0.00\);_(&quot;$&quot;* &quot;-&quot;??_);_(@_)"/>
    <x:numFmt numFmtId="177" formatCode="_(&quot;$&quot;* #,##0_);_(&quot;$&quot;* \(#,##0\);_(&quot;$&quot;* &quot;-&quot;_);_(@_)"/>
    <x:numFmt numFmtId="178" formatCode="[$HK$-C04]#,##0.000_);[Red]\([$HK$-C04]#,##0.000\)"/>
    <x:numFmt numFmtId="179" formatCode="[$HK$-C04]#,##0.00_);[Red]\([$HK$-C04]#,##0.00\)"/>
    <x:numFmt numFmtId="180" formatCode="[$HK$-C04]#,##0;\-[$HK$-C04]#,##0"/>
    <x:numFmt numFmtId="181" formatCode="0.000_ "/>
    <x:numFmt numFmtId="182" formatCode="0.0_ "/>
    <x:numFmt numFmtId="183" formatCode="0.00_ "/>
    <x:numFmt numFmtId="184" formatCode="0_ "/>
    <x:numFmt numFmtId="185" formatCode="General\ &quot;KG&quot;"/>
    <x:numFmt numFmtId="186" formatCode="mmm/dd/yyyy"/>
    <x:numFmt numFmtId="187" formatCode="&quot;US$&quot;#,##0.00_);[Red]\(&quot;US$&quot;#,##0.00\)"/>
    <x:numFmt numFmtId="188" formatCode="0.00_);[Red]\(0.00\)"/>
    <x:numFmt numFmtId="189" formatCode="yyyy/m/d;@"/>
    <x:numFmt numFmtId="190" formatCode="______@"/>
    <x:numFmt numFmtId="191" formatCode="__@"/>
    <x:numFmt numFmtId="192" formatCode="____@"/>
    <x:numFmt numFmtId="193" formatCode="________@"/>
    <x:numFmt numFmtId="194" formatCode="0_);[Red]\(0\)"/>
    <x:numFmt numFmtId="195" formatCode="&quot;US$&quot;#,##0.00;\-&quot;US$&quot;#,##0.00"/>
    <x:numFmt numFmtId="196" formatCode="[DBNum2][$RMB]General;[Red][DBNum2][$RMB]General"/>
    <x:numFmt numFmtId="197" formatCode="yyyy&quot;年&quot;m&quot;月&quot;d&quot;日&quot;;@"/>
    <x:numFmt numFmtId="198" formatCode="_-&quot;$&quot;* #,##0.00_ ;_-&quot;$&quot;* \-#,##0.00\ ;_-&quot;$&quot;* &quot;-&quot;??_ ;_-@_ "/>
    <x:numFmt numFmtId="199" formatCode="_-&quot;US$&quot;* #,##0.00_ ;_-&quot;US$&quot;* \-#,##0.00\ ;_-&quot;US$&quot;* &quot;-&quot;??_ ;_-@_ "/>
    <x:numFmt numFmtId="200" formatCode="[$USD]\ #,##0.00;[$USD]\ \-#,##0.00"/>
    <x:numFmt numFmtId="201" formatCode="&quot;US$&quot;#,##0.0000;\-&quot;US$&quot;#,##0.0000"/>
    <x:numFmt numFmtId="202" formatCode="&quot;US$&quot;#,##0.000;\-&quot;US$&quot;#,##0.000"/>
    <x:numFmt numFmtId="203" formatCode="0.0000_ "/>
    <x:numFmt numFmtId="204" formatCode="#,##0.00_ "/>
    <x:numFmt numFmtId="205" formatCode="0.000000_ "/>
    <x:numFmt numFmtId="206" formatCode="dd/mm/yyyy"/>
    <x:numFmt numFmtId="207" formatCode="&quot;￥&quot;#,##0.00;[Red]&quot;￥&quot;#,##0.00"/>
    <x:numFmt numFmtId="208" formatCode="&quot;￥&quot;#,##0.00_);[Red]\(&quot;￥&quot;#,##0.00\)"/>
    <x:numFmt numFmtId="209" formatCode="#\ ?/?"/>
    <x:numFmt numFmtId="210" formatCode="_ * #,##0.0_ ;_ * \-#,##0.0_ ;_ * &quot;-&quot;??_ ;_ @_ "/>
  </x:numFmts>
  <x:fonts count="120">
    <x:font>
      <x:sz val="11"/>
      <x:color theme="1"/>
      <x:name val="宋体"/>
    </x:font>
    <x:font>
      <x:sz val="12"/>
      <x:name val="宋体"/>
    </x:font>
    <x:font>
      <x:b/>
      <x:sz val="14"/>
      <x:color rgb="FF000000"/>
      <x:name val="宋体"/>
    </x:font>
    <x:font>
      <x:b/>
      <x:sz val="14"/>
      <x:name val="宋体"/>
    </x:font>
    <x:font>
      <x:sz val="11"/>
      <x:name val="Arial Narrow"/>
    </x:font>
    <x:font>
      <x:sz val="9"/>
      <x:name val="Arial Narrow"/>
    </x:font>
    <x:font>
      <x:b/>
      <x:sz val="12"/>
      <x:name val="Arial Narrow"/>
    </x:font>
    <x:font>
      <x:sz val="12"/>
      <x:name val="Arial Narrow"/>
    </x:font>
    <x:font>
      <x:sz val="10"/>
      <x:name val="Helv"/>
    </x:font>
    <x:font>
      <x:b/>
      <x:sz val="16"/>
      <x:name val="Arial Narrow"/>
    </x:font>
    <x:font>
      <x:sz val="9"/>
      <x:name val="宋体"/>
    </x:font>
    <x:font>
      <x:b/>
      <x:sz val="10"/>
      <x:name val="宋体"/>
    </x:font>
    <x:font>
      <x:sz val="10"/>
      <x:color indexed="62"/>
      <x:name val="Calibri"/>
    </x:font>
    <x:font>
      <x:sz val="10"/>
      <x:color indexed="62"/>
      <x:name val="宋体"/>
    </x:font>
    <x:font>
      <x:b/>
      <x:sz val="18"/>
      <x:name val="Arial Narrow"/>
    </x:font>
    <x:font>
      <x:b/>
      <x:sz val="13"/>
      <x:color indexed="39"/>
      <x:name val="PMingLiU"/>
    </x:font>
    <x:font>
      <x:sz val="14"/>
      <x:name val="Arial Narrow"/>
    </x:font>
    <x:font>
      <x:sz val="10"/>
      <x:name val="Arial Narrow"/>
    </x:font>
    <x:font>
      <x:sz val="11"/>
      <x:name val="宋体"/>
    </x:font>
    <x:font>
      <x:sz val="11"/>
      <x:name val="Times New Roman"/>
    </x:font>
    <x:font>
      <x:sz val="10"/>
      <x:name val="宋体"/>
    </x:font>
    <x:font>
      <x:b/>
      <x:sz val="26"/>
      <x:name val="宋体"/>
    </x:font>
    <x:font>
      <x:b/>
      <x:sz val="18"/>
      <x:name val="Times New Roman"/>
    </x:font>
    <x:font>
      <x:b/>
      <x:sz val="12"/>
      <x:name val="新宋体"/>
    </x:font>
    <x:font>
      <x:b/>
      <x:sz val="10"/>
      <x:name val="新宋体"/>
    </x:font>
    <x:font>
      <x:b/>
      <x:sz val="20"/>
      <x:name val="新宋体"/>
    </x:font>
    <x:font>
      <x:b/>
      <x:sz val="13"/>
      <x:name val="新宋体"/>
    </x:font>
    <x:font>
      <x:b/>
      <x:sz val="18"/>
      <x:name val="新宋体"/>
    </x:font>
    <x:font>
      <x:b/>
      <x:sz val="9"/>
      <x:name val="新宋体"/>
    </x:font>
    <x:font>
      <x:b/>
      <x:sz val="14"/>
      <x:name val="新宋体"/>
    </x:font>
    <x:font>
      <x:b/>
      <x:sz val="10"/>
      <x:name val="新宋体"/>
    </x:font>
    <x:font>
      <x:b/>
      <x:i/>
      <x:sz val="10"/>
      <x:name val="新宋体"/>
    </x:font>
    <x:font>
      <x:b/>
      <x:sz val="12"/>
      <x:name val="宋体"/>
    </x:font>
    <x:font>
      <x:b/>
      <x:sz val="12"/>
      <x:color rgb="FFFF0000"/>
      <x:name val="宋体"/>
    </x:font>
    <x:font>
      <x:b/>
      <x:sz val="12"/>
      <x:color theme="1"/>
      <x:name val="宋体"/>
    </x:font>
    <x:font>
      <x:b/>
      <x:sz val="12"/>
      <x:name val="等线"/>
    </x:font>
    <x:font>
      <x:b/>
      <x:sz val="12"/>
      <x:name val="黑体"/>
    </x:font>
    <x:font>
      <x:b/>
      <x:sz val="12"/>
      <x:color theme="1"/>
      <x:name val="等线"/>
    </x:font>
    <x:font>
      <x:b/>
      <x:sz val="12"/>
      <x:color rgb="FFFF0000"/>
      <x:name val="等线"/>
    </x:font>
    <x:font>
      <x:b/>
      <x:sz val="11"/>
      <x:color rgb="FFFF0000"/>
      <x:name val="等线"/>
    </x:font>
    <x:font>
      <x:b/>
      <x:sz val="10"/>
      <x:color rgb="FFFF0000"/>
      <x:name val="等线"/>
    </x:font>
    <x:font>
      <x:b/>
      <x:i/>
      <x:sz val="12"/>
      <x:name val="宋体"/>
    </x:font>
    <x:font>
      <x:b/>
      <x:sz val="11"/>
      <x:color theme="1"/>
      <x:name val="等线"/>
    </x:font>
    <x:font>
      <x:b/>
      <x:sz val="11"/>
      <x:name val="等线"/>
    </x:font>
    <x:font>
      <x:b/>
      <x:sz val="11"/>
      <x:color rgb="FF000000"/>
      <x:name val="等线"/>
    </x:font>
    <x:font>
      <x:b/>
      <x:sz val="20"/>
      <x:name val="等线"/>
    </x:font>
    <x:font>
      <x:b/>
      <x:sz val="14"/>
      <x:name val="等线"/>
    </x:font>
    <x:font>
      <x:b/>
      <x:sz val="16"/>
      <x:name val="等线"/>
    </x:font>
    <x:font>
      <x:b/>
      <x:sz val="13"/>
      <x:name val="等线"/>
    </x:font>
    <x:font>
      <x:b/>
      <x:sz val="8"/>
      <x:name val="等线"/>
    </x:font>
    <x:font>
      <x:b/>
      <x:sz val="10"/>
      <x:name val="等线"/>
    </x:font>
    <x:font>
      <x:b/>
      <x:sz val="6"/>
      <x:name val="等线"/>
    </x:font>
    <x:font>
      <x:b/>
      <x:sz val="14"/>
      <x:name val="等线"/>
    </x:font>
    <x:font>
      <x:b/>
      <x:sz val="9"/>
      <x:name val="等线"/>
    </x:font>
    <x:font>
      <x:b/>
      <x:sz val="10"/>
      <x:name val="等线"/>
    </x:font>
    <x:font>
      <x:b/>
      <x:sz val="14"/>
      <x:color theme="1"/>
      <x:name val="等线"/>
    </x:font>
    <x:font>
      <x:b/>
      <x:sz val="24"/>
      <x:name val="等线"/>
    </x:font>
    <x:font>
      <x:b/>
      <x:sz val="24"/>
      <x:name val="等线"/>
    </x:font>
    <x:font>
      <x:b/>
      <x:sz val="20"/>
      <x:name val="等线"/>
    </x:font>
    <x:font>
      <x:b/>
      <x:sz val="17"/>
      <x:name val="等线"/>
    </x:font>
    <x:font>
      <x:b/>
      <x:sz val="18"/>
      <x:name val="等线"/>
    </x:font>
    <x:font>
      <x:b/>
      <x:sz val="14"/>
      <x:color rgb="FF000000"/>
      <x:name val="等线"/>
    </x:font>
    <x:font>
      <x:b/>
      <x:sz val="14"/>
      <x:name val="等线"/>
    </x:font>
    <x:font>
      <x:b/>
      <x:sz val="14"/>
      <x:color rgb="FF000000"/>
      <x:name val="等线"/>
    </x:font>
    <x:font>
      <x:b/>
      <x:sz val="11"/>
      <x:name val="等线"/>
    </x:font>
    <x:font>
      <x:b/>
      <x:sz val="11"/>
      <x:color rgb="FF000000"/>
      <x:name val="等线"/>
    </x:font>
    <x:font>
      <x:b/>
      <x:sz val="12"/>
      <x:color rgb="FF000000"/>
      <x:name val="等线"/>
    </x:font>
    <x:font>
      <x:b/>
      <x:sz val="16"/>
      <x:name val="等线"/>
    </x:font>
    <x:font>
      <x:sz val="14"/>
      <x:color theme="1"/>
      <x:name val="宋体"/>
    </x:font>
    <x:font>
      <x:b/>
      <x:sz val="14"/>
      <x:name val="宋体"/>
    </x:font>
    <x:font>
      <x:b/>
      <x:sz val="12"/>
      <x:color rgb="FF000000"/>
      <x:name val="宋体"/>
    </x:font>
    <x:font>
      <x:b/>
      <x:sz val="11"/>
      <x:color rgb="FF000000"/>
      <x:name val="Arial"/>
    </x:font>
    <x:font>
      <x:b/>
      <x:sz val="12"/>
      <x:color indexed="8"/>
      <x:name val="等线"/>
    </x:font>
    <x:font>
      <x:sz val="12"/>
      <x:color theme="1"/>
      <x:name val="宋体"/>
    </x:font>
    <x:font>
      <x:sz val="13"/>
      <x:color theme="1"/>
      <x:name val="宋体"/>
    </x:font>
    <x:font>
      <x:sz val="13"/>
      <x:name val="宋体"/>
    </x:font>
    <x:font>
      <x:sz val="14"/>
      <x:name val="宋体"/>
    </x:font>
    <x:font>
      <x:b/>
      <x:sz val="13"/>
      <x:name val="等线"/>
    </x:font>
    <x:font>
      <x:b/>
      <x:sz val="14"/>
      <x:color indexed="8"/>
      <x:name val="等线"/>
    </x:font>
    <x:font>
      <x:b/>
      <x:sz val="12"/>
      <x:name val="等线"/>
    </x:font>
    <x:font>
      <x:b/>
      <x:sz val="13"/>
      <x:color rgb="FF000000"/>
      <x:name val="等线"/>
    </x:font>
    <x:font>
      <x:sz val="11"/>
      <x:color theme="1"/>
      <x:name val="宋体"/>
    </x:font>
    <x:font>
      <x:sz val="11"/>
      <x:color rgb="FFFF0000"/>
      <x:name val="宋体"/>
    </x:font>
    <x:font>
      <x:sz val="14"/>
      <x:color theme="1"/>
      <x:name val="宋体"/>
    </x:font>
    <x:font>
      <x:sz val="16"/>
      <x:color theme="1"/>
      <x:name val="宋体"/>
    </x:font>
    <x:font>
      <x:sz val="18"/>
      <x:color theme="1"/>
      <x:name val="宋体"/>
    </x:font>
    <x:font>
      <x:b/>
      <x:sz val="16"/>
      <x:color rgb="FF5307B2"/>
      <x:name val="等线"/>
    </x:font>
    <x:font>
      <x:sz val="11"/>
      <x:color theme="1"/>
      <x:name val="等线"/>
    </x:font>
    <x:font>
      <x:b/>
      <x:sz val="20"/>
      <x:color theme="1"/>
      <x:name val="等线"/>
    </x:font>
    <x:font>
      <x:b/>
      <x:sz val="16"/>
      <x:color theme="1"/>
      <x:name val="等线"/>
    </x:font>
    <x:font>
      <x:b/>
      <x:sz val="20"/>
      <x:name val="Times New Roman"/>
    </x:font>
    <x:font>
      <x:sz val="11"/>
      <x:color rgb="FF000000"/>
      <x:name val="等线"/>
    </x:font>
    <x:font>
      <x:sz val="14"/>
      <x:color rgb="FFFF0000"/>
      <x:name val="宋体"/>
    </x:font>
    <x:font>
      <x:b/>
      <x:sz val="14"/>
      <x:color rgb="FFFF0000"/>
      <x:name val="宋体"/>
    </x:font>
    <x:font>
      <x:sz val="1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name val="新細明體"/>
    </x:font>
    <x:font>
      <x:sz val="12"/>
      <x:name val="新細明體"/>
    </x:font>
    <x:font>
      <x:sz val="12"/>
      <x:name val="Times New Roman"/>
    </x:font>
    <x:font>
      <x:sz val="10"/>
      <x:color indexed="8"/>
      <x:name val="Arial"/>
    </x:font>
    <x:font>
      <x:sz val="10"/>
      <x:name val="Arial"/>
    </x:font>
    <x:font>
      <x:sz val="9"/>
      <x:name val="宋体"/>
    </x:font>
  </x:fonts>
  <x:fills count="41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indexed="31"/>
      </x:patternFill>
    </x:fill>
    <x:fill>
      <x:patternFill patternType="solid">
        <x:fgColor rgb="FFFFFFFF"/>
      </x:patternFill>
    </x:fill>
    <x:fill>
      <x:patternFill patternType="solid">
        <x:fgColor theme="7" tint="0.8"/>
      </x:patternFill>
    </x:fill>
    <x:fill>
      <x:patternFill patternType="solid">
        <x:fgColor rgb="FFD0C0E2"/>
      </x:patternFill>
    </x:fill>
    <x:fill>
      <x:patternFill patternType="solid">
        <x:fgColor theme="8" tint="0.6"/>
      </x:patternFill>
    </x:fill>
    <x:fill>
      <x:patternFill patternType="solid">
        <x:fgColor rgb="FF00B0F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</x:border>
    <x:border>
      <x:top style="medium">
        <x:color auto="1"/>
      </x:top>
    </x:border>
    <x:border>
      <x:right style="thin">
        <x:color auto="1"/>
      </x:right>
      <x:top style="medium">
        <x:color auto="1"/>
      </x:top>
    </x:border>
    <x:border>
      <x:left style="thin">
        <x:color auto="1"/>
      </x:left>
      <x:top style="medium">
        <x:color auto="1"/>
      </x:top>
    </x:border>
    <x:border>
      <x:left style="thin">
        <x:color auto="1"/>
      </x:left>
      <x:right style="thin">
        <x:color auto="1"/>
      </x:right>
      <x:top style="medium">
        <x:color auto="1"/>
      </x:top>
    </x:border>
    <x:border>
      <x:left style="thin">
        <x:color auto="1"/>
      </x:left>
      <x:right style="medium">
        <x:color auto="1"/>
      </x:right>
      <x:top style="medium">
        <x:color auto="1"/>
      </x:top>
    </x:border>
    <x:border>
      <x:right style="medium">
        <x:color auto="1"/>
      </x:right>
      <x:top style="medium">
        <x:color auto="1"/>
      </x:top>
    </x:border>
    <x:border>
      <x:left style="medium">
        <x:color auto="1"/>
      </x:left>
      <x:right style="thin">
        <x:color auto="1"/>
      </x:right>
      <x:bottom style="thin">
        <x:color auto="1"/>
      </x:bottom>
    </x:border>
    <x:border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bottom style="thin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medium">
        <x:color auto="1"/>
      </x:right>
      <x:bottom style="thin">
        <x:color auto="1"/>
      </x:bottom>
    </x:border>
    <x:border>
      <x:right style="medium">
        <x:color auto="1"/>
      </x:right>
      <x:bottom style="thin">
        <x:color auto="1"/>
      </x:bottom>
    </x:border>
    <x:border>
      <x:left style="medium">
        <x:color auto="1"/>
      </x:left>
      <x:top style="thin">
        <x:color auto="1"/>
      </x:top>
    </x:border>
    <x:border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medium">
        <x:color auto="1"/>
      </x:right>
      <x:top style="thin">
        <x:color auto="1"/>
      </x:top>
    </x:border>
    <x:border>
      <x:right style="medium">
        <x:color auto="1"/>
      </x:right>
      <x:top style="thin">
        <x:color auto="1"/>
      </x:top>
    </x:border>
    <x:border>
      <x:left style="thin">
        <x:color auto="1"/>
      </x:left>
      <x:top style="thin">
        <x:color auto="1"/>
      </x:top>
    </x:border>
    <x:border>
      <x:left style="medium">
        <x:color auto="1"/>
      </x:left>
      <x:right style="thin">
        <x:color auto="1"/>
      </x:right>
      <x:top style="thin">
        <x:color auto="1"/>
      </x:top>
    </x:border>
    <x:border>
      <x:left style="medium">
        <x:color auto="1"/>
      </x:left>
      <x:bottom style="medium">
        <x:color auto="1"/>
      </x:bottom>
    </x:border>
    <x:border>
      <x:right style="medium">
        <x:color auto="1"/>
      </x:right>
      <x:bottom style="medium">
        <x:color auto="1"/>
      </x:bottom>
    </x:border>
    <x:border>
      <x:left style="medium">
        <x:color auto="1"/>
      </x:left>
      <x:right style="hair">
        <x:color auto="1"/>
      </x:right>
      <x:top style="medium">
        <x:color auto="1"/>
      </x:top>
    </x:border>
    <x:border>
      <x:right style="hair">
        <x:color auto="1"/>
      </x:right>
      <x:top style="medium">
        <x:color auto="1"/>
      </x:top>
    </x:border>
    <x:border>
      <x:left style="hair">
        <x:color auto="1"/>
      </x:left>
      <x:right style="hair">
        <x:color auto="1"/>
      </x:right>
      <x:top style="medium">
        <x:color auto="1"/>
      </x:top>
    </x:border>
    <x:border>
      <x:left style="medium">
        <x:color auto="1"/>
      </x:left>
    </x:border>
    <x:border>
      <x:right style="medium">
        <x:color auto="1"/>
      </x:right>
    </x:border>
    <x:border>
      <x:left style="hair">
        <x:color auto="1"/>
      </x:left>
      <x:right style="hair">
        <x:color auto="1"/>
      </x:right>
      <x:top style="medium">
        <x:color auto="1"/>
      </x:top>
      <x:bottom style="thin">
        <x:color auto="1"/>
      </x:bottom>
    </x:border>
    <x:border>
      <x:right style="hair">
        <x:color auto="1"/>
      </x:right>
      <x:top style="medium">
        <x:color auto="1"/>
      </x:top>
      <x:bottom style="thin">
        <x:color auto="1"/>
      </x:bottom>
    </x:border>
    <x:border>
      <x:right style="hair">
        <x:color auto="1"/>
      </x:right>
    </x:border>
    <x:border>
      <x:left style="hair">
        <x:color auto="1"/>
      </x:left>
      <x:right style="hair">
        <x:color auto="1"/>
      </x:right>
    </x:border>
    <x:border>
      <x:right style="hair">
        <x:color auto="1"/>
      </x:right>
      <x:bottom style="thin">
        <x:color auto="1"/>
      </x:bottom>
    </x:border>
    <x:border>
      <x:top style="medium">
        <x:color auto="1"/>
      </x:top>
      <x:bottom style="thin">
        <x:color auto="1"/>
      </x:bottom>
    </x:border>
    <x:border>
      <x:left style="hair">
        <x:color auto="1"/>
      </x:left>
      <x:top style="medium">
        <x:color auto="1"/>
      </x:top>
    </x:border>
    <x:border>
      <x:left style="medium">
        <x:color auto="1"/>
      </x:lef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right style="thin">
        <x:color auto="1"/>
      </x:right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left style="medium">
        <x:color auto="1"/>
      </x:left>
      <x:right style="dashed">
        <x:color auto="1"/>
      </x:right>
      <x:top style="medium">
        <x:color auto="1"/>
      </x:top>
    </x:border>
    <x:border>
      <x:left style="dashed">
        <x:color auto="1"/>
      </x:left>
      <x:right style="medium">
        <x:color auto="1"/>
      </x:right>
      <x:top style="medium">
        <x:color auto="1"/>
      </x:top>
    </x:border>
    <x:border>
      <x:left style="medium">
        <x:color auto="1"/>
      </x:left>
      <x:right style="dashed">
        <x:color auto="1"/>
      </x:right>
      <x:top style="medium">
        <x:color auto="1"/>
      </x:top>
      <x:bottom style="dashed">
        <x:color auto="1"/>
      </x:bottom>
    </x:border>
    <x:border>
      <x:right style="dashed">
        <x:color auto="1"/>
      </x:right>
      <x:top style="medium">
        <x:color auto="1"/>
      </x:top>
    </x:border>
    <x:border>
      <x:left style="dashed">
        <x:color auto="1"/>
      </x:left>
      <x:right style="dashed">
        <x:color auto="1"/>
      </x:right>
      <x:top style="medium">
        <x:color auto="1"/>
      </x:top>
      <x:bottom style="dashed">
        <x:color auto="1"/>
      </x:bottom>
    </x:border>
    <x:border>
      <x:left style="medium">
        <x:color auto="1"/>
      </x:left>
      <x:right style="dashed">
        <x:color auto="1"/>
      </x:right>
    </x:border>
    <x:border>
      <x:left style="dashed">
        <x:color auto="1"/>
      </x:left>
      <x:right style="medium">
        <x:color auto="1"/>
      </x:right>
    </x:border>
    <x:border>
      <x:left style="medium">
        <x:color auto="1"/>
      </x:left>
      <x:bottom style="dashed">
        <x:color auto="1"/>
      </x:bottom>
    </x:border>
    <x:border>
      <x:right style="dashed">
        <x:color auto="1"/>
      </x:right>
      <x:bottom style="dashed">
        <x:color auto="1"/>
      </x:bottom>
    </x:border>
    <x:border>
      <x:left style="dashed">
        <x:color auto="1"/>
      </x:left>
      <x:bottom style="dashed">
        <x:color auto="1"/>
      </x:bottom>
    </x:border>
    <x:border>
      <x:left style="medium">
        <x:color auto="1"/>
      </x:left>
      <x:right style="dashed">
        <x:color auto="1"/>
      </x:right>
      <x:top style="dashed">
        <x:color auto="1"/>
      </x:top>
      <x:bottom style="dashed">
        <x:color auto="1"/>
      </x:bottom>
    </x:border>
    <x:border>
      <x:right style="dashed">
        <x:color auto="1"/>
      </x:right>
      <x:top style="dashed">
        <x:color auto="1"/>
      </x:top>
    </x:border>
    <x:border>
      <x:left style="dashed">
        <x:color auto="1"/>
      </x:left>
      <x:right style="dashed">
        <x:color auto="1"/>
      </x:right>
      <x:top style="dashed">
        <x:color auto="1"/>
      </x:top>
      <x:bottom style="dashed">
        <x:color auto="1"/>
      </x:bottom>
    </x:border>
    <x:border>
      <x:left style="medium">
        <x:color auto="1"/>
      </x:left>
      <x:right style="dashed">
        <x:color auto="1"/>
      </x:right>
      <x:bottom style="medium">
        <x:color auto="1"/>
      </x:bottom>
    </x:border>
    <x:border>
      <x:left style="dashed">
        <x:color auto="1"/>
      </x:left>
      <x:right style="medium">
        <x:color auto="1"/>
      </x:right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</x:border>
    <x:border>
      <x:left style="medium">
        <x:color auto="1"/>
      </x:left>
      <x:right style="medium">
        <x:color auto="1"/>
      </x:right>
      <x:bottom style="medium">
        <x:color auto="1"/>
      </x:bottom>
    </x:border>
    <x:border>
      <x:left style="medium">
        <x:color auto="1"/>
      </x:left>
      <x:top style="medium">
        <x:color auto="1"/>
      </x:top>
      <x:bottom style="medium">
        <x:color auto="1"/>
      </x:bottom>
    </x:border>
    <x:border>
      <x:right style="medium">
        <x:color auto="1"/>
      </x:right>
      <x:top style="medium">
        <x:color auto="1"/>
      </x:top>
      <x:bottom style="medium">
        <x:color auto="1"/>
      </x:bottom>
    </x:border>
    <x:border>
      <x:top style="medium">
        <x:color auto="1"/>
      </x:top>
      <x:bottom style="medium">
        <x:color auto="1"/>
      </x:bottom>
    </x:border>
    <x:border>
      <x:top style="medium">
        <x:color auto="1"/>
      </x:top>
      <x:bottom style="dashed">
        <x:color auto="1"/>
      </x:bottom>
    </x:border>
    <x:border>
      <x:right style="medium">
        <x:color auto="1"/>
      </x:right>
      <x:top style="medium">
        <x:color auto="1"/>
      </x:top>
      <x:bottom style="dashed">
        <x:color auto="1"/>
      </x:bottom>
    </x:border>
    <x:border>
      <x:left style="medium">
        <x:color auto="1"/>
      </x:left>
      <x:top style="dashed">
        <x:color auto="1"/>
      </x:top>
    </x:border>
    <x:border>
      <x:top style="dashed">
        <x:color auto="1"/>
      </x:top>
    </x:border>
    <x:border>
      <x:right style="medium">
        <x:color auto="1"/>
      </x:right>
      <x:top style="dashed">
        <x:color auto="1"/>
      </x:top>
    </x:border>
    <x:border>
      <x:top style="dashed">
        <x:color auto="1"/>
      </x:top>
      <x:bottom style="dashed">
        <x:color auto="1"/>
      </x:bottom>
    </x:border>
    <x:border>
      <x:right style="medium">
        <x:color auto="1"/>
      </x:right>
      <x:top style="dashed">
        <x:color auto="1"/>
      </x:top>
      <x:bottom style="dashed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dashed">
        <x:color auto="1"/>
      </x:bottom>
    </x:border>
    <x:border>
      <x:left style="medium">
        <x:color auto="1"/>
      </x:left>
      <x:right style="medium">
        <x:color auto="1"/>
      </x:right>
      <x:top style="dashed">
        <x:color auto="1"/>
      </x:top>
    </x:border>
    <x:border>
      <x:left style="medium">
        <x:color auto="1"/>
      </x:left>
      <x:right style="medium">
        <x:color auto="1"/>
      </x:right>
    </x:border>
    <x:border>
      <x:right style="medium">
        <x:color auto="1"/>
      </x:right>
      <x:bottom style="mediumDashed">
        <x:color auto="1"/>
      </x:bottom>
    </x:border>
    <x:border>
      <x:bottom style="mediumDashed">
        <x:color auto="1"/>
      </x:bottom>
    </x:border>
    <x:border>
      <x:bottom style="dashed">
        <x:color auto="1"/>
      </x:bottom>
    </x:border>
    <x:border>
      <x:left style="medium">
        <x:color auto="1"/>
      </x:left>
      <x:top style="medium">
        <x:color auto="1"/>
      </x:top>
    </x:border>
    <x:border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bottom style="thin">
        <x:color auto="1"/>
      </x:bottom>
    </x:border>
    <x:border>
      <x:left style="medium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medium">
        <x:color auto="1"/>
      </x:right>
    </x:border>
    <x:border>
      <x:left style="medium">
        <x:color auto="1"/>
      </x:left>
      <x:right style="thin">
        <x:color auto="1"/>
      </x:right>
      <x:bottom style="medium">
        <x:color auto="1"/>
      </x:bottom>
    </x:border>
    <x:border>
      <x:left style="thin">
        <x:color auto="1"/>
      </x:left>
      <x:bottom style="medium">
        <x:color auto="1"/>
      </x:bottom>
    </x:border>
    <x:border>
      <x:left style="thin">
        <x:color auto="1"/>
      </x:left>
      <x:right style="thin">
        <x:color auto="1"/>
      </x:right>
      <x:bottom style="medium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66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176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0" fontId="95" fillId="0" borderId="0" applyNumberFormat="0" applyFill="0" applyBorder="0" applyAlignment="0" applyProtection="0">
      <x:alignment vertical="center"/>
    </x:xf>
    <x:xf numFmtId="0" fontId="96" fillId="0" borderId="0" applyNumberFormat="0" applyFill="0" applyBorder="0" applyAlignment="0" applyProtection="0">
      <x:alignment vertical="center"/>
    </x:xf>
    <x:xf numFmtId="0" fontId="0" fillId="10" borderId="91" applyNumberFormat="0" applyFont="0" applyAlignment="0" applyProtection="0">
      <x:alignment vertical="center"/>
    </x:xf>
    <x:xf numFmtId="0" fontId="97" fillId="0" borderId="0" applyNumberFormat="0" applyFill="0" applyBorder="0" applyAlignment="0" applyProtection="0">
      <x:alignment vertical="center"/>
    </x:xf>
    <x:xf numFmtId="0" fontId="98" fillId="0" borderId="0" applyNumberFormat="0" applyFill="0" applyBorder="0" applyAlignment="0" applyProtection="0">
      <x:alignment vertical="center"/>
    </x:xf>
    <x:xf numFmtId="0" fontId="99" fillId="0" borderId="0" applyNumberFormat="0" applyFill="0" applyBorder="0" applyAlignment="0" applyProtection="0">
      <x:alignment vertical="center"/>
    </x:xf>
    <x:xf numFmtId="0" fontId="100" fillId="0" borderId="92" applyNumberFormat="0" applyFill="0" applyAlignment="0" applyProtection="0">
      <x:alignment vertical="center"/>
    </x:xf>
    <x:xf numFmtId="0" fontId="101" fillId="0" borderId="92" applyNumberFormat="0" applyFill="0" applyAlignment="0" applyProtection="0">
      <x:alignment vertical="center"/>
    </x:xf>
    <x:xf numFmtId="0" fontId="102" fillId="0" borderId="93" applyNumberFormat="0" applyFill="0" applyAlignment="0" applyProtection="0">
      <x:alignment vertical="center"/>
    </x:xf>
    <x:xf numFmtId="0" fontId="102" fillId="0" borderId="0" applyNumberFormat="0" applyFill="0" applyBorder="0" applyAlignment="0" applyProtection="0">
      <x:alignment vertical="center"/>
    </x:xf>
    <x:xf numFmtId="0" fontId="103" fillId="11" borderId="94" applyNumberFormat="0" applyAlignment="0" applyProtection="0">
      <x:alignment vertical="center"/>
    </x:xf>
    <x:xf numFmtId="0" fontId="104" fillId="12" borderId="95" applyNumberFormat="0" applyAlignment="0" applyProtection="0">
      <x:alignment vertical="center"/>
    </x:xf>
    <x:xf numFmtId="0" fontId="105" fillId="12" borderId="94" applyNumberFormat="0" applyAlignment="0" applyProtection="0">
      <x:alignment vertical="center"/>
    </x:xf>
    <x:xf numFmtId="0" fontId="106" fillId="13" borderId="96" applyNumberFormat="0" applyAlignment="0" applyProtection="0">
      <x:alignment vertical="center"/>
    </x:xf>
    <x:xf numFmtId="0" fontId="107" fillId="0" borderId="97" applyNumberFormat="0" applyFill="0" applyAlignment="0" applyProtection="0">
      <x:alignment vertical="center"/>
    </x:xf>
    <x:xf numFmtId="0" fontId="108" fillId="0" borderId="98" applyNumberFormat="0" applyFill="0" applyAlignment="0" applyProtection="0">
      <x:alignment vertical="center"/>
    </x:xf>
    <x:xf numFmtId="0" fontId="109" fillId="14" borderId="0" applyNumberFormat="0" applyBorder="0" applyAlignment="0" applyProtection="0">
      <x:alignment vertical="center"/>
    </x:xf>
    <x:xf numFmtId="0" fontId="110" fillId="15" borderId="0" applyNumberFormat="0" applyBorder="0" applyAlignment="0" applyProtection="0">
      <x:alignment vertical="center"/>
    </x:xf>
    <x:xf numFmtId="0" fontId="111" fillId="16" borderId="0" applyNumberFormat="0" applyBorder="0" applyAlignment="0" applyProtection="0">
      <x:alignment vertical="center"/>
    </x:xf>
    <x:xf numFmtId="0" fontId="112" fillId="17" borderId="0" applyNumberFormat="0" applyBorder="0" applyAlignment="0" applyProtection="0">
      <x:alignment vertical="center"/>
    </x:xf>
    <x:xf numFmtId="0" fontId="113" fillId="18" borderId="0" applyNumberFormat="0" applyBorder="0" applyAlignment="0" applyProtection="0">
      <x:alignment vertical="center"/>
    </x:xf>
    <x:xf numFmtId="0" fontId="113" fillId="19" borderId="0" applyNumberFormat="0" applyBorder="0" applyAlignment="0" applyProtection="0">
      <x:alignment vertical="center"/>
    </x:xf>
    <x:xf numFmtId="0" fontId="112" fillId="20" borderId="0" applyNumberFormat="0" applyBorder="0" applyAlignment="0" applyProtection="0">
      <x:alignment vertical="center"/>
    </x:xf>
    <x:xf numFmtId="0" fontId="112" fillId="21" borderId="0" applyNumberFormat="0" applyBorder="0" applyAlignment="0" applyProtection="0">
      <x:alignment vertical="center"/>
    </x:xf>
    <x:xf numFmtId="0" fontId="113" fillId="22" borderId="0" applyNumberFormat="0" applyBorder="0" applyAlignment="0" applyProtection="0">
      <x:alignment vertical="center"/>
    </x:xf>
    <x:xf numFmtId="0" fontId="113" fillId="23" borderId="0" applyNumberFormat="0" applyBorder="0" applyAlignment="0" applyProtection="0">
      <x:alignment vertical="center"/>
    </x:xf>
    <x:xf numFmtId="0" fontId="112" fillId="24" borderId="0" applyNumberFormat="0" applyBorder="0" applyAlignment="0" applyProtection="0">
      <x:alignment vertical="center"/>
    </x:xf>
    <x:xf numFmtId="0" fontId="112" fillId="25" borderId="0" applyNumberFormat="0" applyBorder="0" applyAlignment="0" applyProtection="0">
      <x:alignment vertical="center"/>
    </x:xf>
    <x:xf numFmtId="0" fontId="113" fillId="26" borderId="0" applyNumberFormat="0" applyBorder="0" applyAlignment="0" applyProtection="0">
      <x:alignment vertical="center"/>
    </x:xf>
    <x:xf numFmtId="0" fontId="113" fillId="27" borderId="0" applyNumberFormat="0" applyBorder="0" applyAlignment="0" applyProtection="0">
      <x:alignment vertical="center"/>
    </x:xf>
    <x:xf numFmtId="0" fontId="112" fillId="28" borderId="0" applyNumberFormat="0" applyBorder="0" applyAlignment="0" applyProtection="0">
      <x:alignment vertical="center"/>
    </x:xf>
    <x:xf numFmtId="0" fontId="112" fillId="29" borderId="0" applyNumberFormat="0" applyBorder="0" applyAlignment="0" applyProtection="0">
      <x:alignment vertical="center"/>
    </x:xf>
    <x:xf numFmtId="0" fontId="113" fillId="30" borderId="0" applyNumberFormat="0" applyBorder="0" applyAlignment="0" applyProtection="0">
      <x:alignment vertical="center"/>
    </x:xf>
    <x:xf numFmtId="0" fontId="113" fillId="31" borderId="0" applyNumberFormat="0" applyBorder="0" applyAlignment="0" applyProtection="0">
      <x:alignment vertical="center"/>
    </x:xf>
    <x:xf numFmtId="0" fontId="112" fillId="32" borderId="0" applyNumberFormat="0" applyBorder="0" applyAlignment="0" applyProtection="0">
      <x:alignment vertical="center"/>
    </x:xf>
    <x:xf numFmtId="0" fontId="112" fillId="33" borderId="0" applyNumberFormat="0" applyBorder="0" applyAlignment="0" applyProtection="0">
      <x:alignment vertical="center"/>
    </x:xf>
    <x:xf numFmtId="0" fontId="113" fillId="34" borderId="0" applyNumberFormat="0" applyBorder="0" applyAlignment="0" applyProtection="0">
      <x:alignment vertical="center"/>
    </x:xf>
    <x:xf numFmtId="0" fontId="113" fillId="35" borderId="0" applyNumberFormat="0" applyBorder="0" applyAlignment="0" applyProtection="0">
      <x:alignment vertical="center"/>
    </x:xf>
    <x:xf numFmtId="0" fontId="112" fillId="36" borderId="0" applyNumberFormat="0" applyBorder="0" applyAlignment="0" applyProtection="0">
      <x:alignment vertical="center"/>
    </x:xf>
    <x:xf numFmtId="0" fontId="112" fillId="37" borderId="0" applyNumberFormat="0" applyBorder="0" applyAlignment="0" applyProtection="0">
      <x:alignment vertical="center"/>
    </x:xf>
    <x:xf numFmtId="0" fontId="113" fillId="38" borderId="0" applyNumberFormat="0" applyBorder="0" applyAlignment="0" applyProtection="0">
      <x:alignment vertical="center"/>
    </x:xf>
    <x:xf numFmtId="0" fontId="113" fillId="39" borderId="0" applyNumberFormat="0" applyBorder="0" applyAlignment="0" applyProtection="0">
      <x:alignment vertical="center"/>
    </x:xf>
    <x:xf numFmtId="0" fontId="112" fillId="40" borderId="0" applyNumberFormat="0" applyBorder="0" applyAlignment="0" applyProtection="0">
      <x:alignment vertical="center"/>
    </x:xf>
    <x:xf numFmtId="178" fontId="8" fillId="0" borderId="0">
      <x:alignment vertical="center"/>
    </x:xf>
    <x:xf numFmtId="0" fontId="114" fillId="0" borderId="0"/>
    <x:xf numFmtId="0" fontId="10" fillId="0" borderId="0">
      <x:alignment vertical="center"/>
    </x:xf>
    <x:xf numFmtId="0" fontId="8" fillId="0" borderId="0">
      <x:alignment vertical="center"/>
    </x:xf>
    <x:xf numFmtId="179" fontId="115" fillId="0" borderId="0"/>
    <x:xf numFmtId="0" fontId="1" fillId="0" borderId="0"/>
    <x:xf numFmtId="0" fontId="8" fillId="0" borderId="0"/>
    <x:xf numFmtId="0" fontId="116" fillId="0" borderId="0"/>
    <x:xf numFmtId="180" fontId="117" fillId="0" borderId="0">
      <x:alignment vertical="top"/>
    </x:xf>
    <x:xf numFmtId="0" fontId="118" fillId="0" borderId="0"/>
    <x:xf numFmtId="0" fontId="0" fillId="0" borderId="0">
      <x:alignment vertical="center"/>
    </x:xf>
    <x:xf numFmtId="0" fontId="118" fillId="0" borderId="0"/>
    <x:xf numFmtId="0" fontId="1" fillId="0" borderId="0"/>
    <x:xf numFmtId="0" fontId="8" fillId="0" borderId="0"/>
    <x:xf numFmtId="0" fontId="1" fillId="0" borderId="0">
      <x:alignment vertical="center"/>
    </x:xf>
    <x:xf numFmtId="0" fontId="118" fillId="0" borderId="0"/>
    <x:xf numFmtId="0" fontId="1" fillId="0" borderId="0"/>
  </x:cellStyleXfs>
  <x:cellXfs count="988">
    <x:xf numFmtId="0" fontId="0" fillId="0" borderId="0" xfId="0">
      <x:alignment vertical="center"/>
    </x:xf>
    <x:xf numFmtId="0" fontId="0" fillId="0" borderId="1" xfId="0" applyBorder="1">
      <x:alignment vertical="center"/>
    </x:xf>
    <x:xf numFmtId="0" fontId="1" fillId="0" borderId="0" xfId="0" applyFont="1" applyFill="1" applyAlignment="1">
      <x:alignment vertical="center"/>
    </x:xf>
    <x:xf numFmtId="0" fontId="2" fillId="0" borderId="0" xfId="0" applyFont="1" applyFill="1" applyAlignment="1">
      <x:alignment horizontal="right" vertical="center"/>
    </x:xf>
    <x:xf numFmtId="0" fontId="3" fillId="0" borderId="0" xfId="0" applyFont="1" applyFill="1" applyAlignment="1">
      <x:alignment horizontal="left" vertical="center"/>
    </x:xf>
    <x:xf numFmtId="0" fontId="4" fillId="0" borderId="0" xfId="62" applyFont="1" applyAlignment="1">
      <x:alignment horizontal="center" vertical="center"/>
    </x:xf>
    <x:xf numFmtId="0" fontId="5" fillId="0" borderId="0" xfId="62" applyFont="1" applyAlignment="1">
      <x:alignment horizontal="center" vertical="center"/>
    </x:xf>
    <x:xf numFmtId="0" fontId="6" fillId="0" borderId="0" xfId="62" applyFont="1" applyAlignment="1">
      <x:alignment horizontal="center" vertical="center"/>
    </x:xf>
    <x:xf numFmtId="0" fontId="5" fillId="0" borderId="0" xfId="62" applyFont="1" applyAlignment="1">
      <x:alignment horizontal="left" vertical="center"/>
    </x:xf>
    <x:xf numFmtId="0" fontId="7" fillId="0" borderId="0" xfId="62" applyFont="1" applyAlignment="1">
      <x:alignment horizontal="center" vertical="center"/>
    </x:xf>
    <x:xf numFmtId="181" fontId="6" fillId="0" borderId="0" xfId="62" applyNumberFormat="1" applyFont="1" applyAlignment="1">
      <x:alignment horizontal="center" vertical="center"/>
    </x:xf>
    <x:xf numFmtId="0" fontId="3" fillId="0" borderId="0" xfId="62" applyFont="1" applyAlignment="1">
      <x:alignment horizontal="center" vertical="center" wrapText="1"/>
    </x:xf>
    <x:xf numFmtId="181" fontId="4" fillId="0" borderId="0" xfId="62" applyNumberFormat="1" applyFont="1" applyAlignment="1">
      <x:alignment horizontal="center" vertical="center"/>
    </x:xf>
    <x:xf numFmtId="0" fontId="6" fillId="0" borderId="2" xfId="62" applyFont="1" applyBorder="1" applyAlignment="1">
      <x:alignment horizontal="center" vertical="center"/>
    </x:xf>
    <x:xf numFmtId="0" fontId="1" fillId="0" borderId="2" xfId="0" applyFont="1" applyFill="1" applyBorder="1" applyAlignment="1"/>
    <x:xf numFmtId="0" fontId="8" fillId="0" borderId="2" xfId="62" applyBorder="1" applyAlignment="1">
      <x:alignment horizontal="right" vertical="center"/>
    </x:xf>
    <x:xf numFmtId="181" fontId="6" fillId="0" borderId="2" xfId="62" applyNumberFormat="1" applyFont="1" applyBorder="1" applyAlignment="1">
      <x:alignment horizontal="center" vertical="center"/>
    </x:xf>
    <x:xf numFmtId="0" fontId="1" fillId="0" borderId="2" xfId="0" applyFont="1" applyFill="1" applyBorder="1" applyAlignment="1"/>
    <x:xf numFmtId="0" fontId="8" fillId="0" borderId="2" xfId="62" applyBorder="1" applyAlignment="1">
      <x:alignment horizontal="center" vertical="center"/>
    </x:xf>
    <x:xf numFmtId="0" fontId="9" fillId="0" borderId="2" xfId="62" applyFont="1" applyBorder="1" applyAlignment="1">
      <x:alignment horizontal="center" vertical="center"/>
    </x:xf>
    <x:xf numFmtId="0" fontId="10" fillId="0" borderId="3" xfId="62" applyFont="1" applyBorder="1" applyAlignment="1">
      <x:alignment horizontal="left" vertical="center"/>
    </x:xf>
    <x:xf numFmtId="0" fontId="1" fillId="0" borderId="4" xfId="0" applyFont="1" applyFill="1" applyBorder="1" applyAlignment="1"/>
    <x:xf numFmtId="0" fontId="1" fillId="0" borderId="5" xfId="0" applyFont="1" applyFill="1" applyBorder="1" applyAlignment="1"/>
    <x:xf numFmtId="0" fontId="10" fillId="0" borderId="6" xfId="62" applyFont="1" applyBorder="1" applyAlignment="1">
      <x:alignment horizontal="left" vertical="center"/>
    </x:xf>
    <x:xf numFmtId="181" fontId="1" fillId="0" borderId="4" xfId="0" applyNumberFormat="1" applyFont="1" applyFill="1" applyBorder="1" applyAlignment="1"/>
    <x:xf numFmtId="0" fontId="10" fillId="0" borderId="4" xfId="62" applyFont="1" applyBorder="1" applyAlignment="1">
      <x:alignment horizontal="left" vertical="center"/>
    </x:xf>
    <x:xf numFmtId="0" fontId="10" fillId="0" borderId="7" xfId="62" applyFont="1" applyBorder="1" applyAlignment="1">
      <x:alignment horizontal="left" vertical="center"/>
    </x:xf>
    <x:xf numFmtId="14" fontId="10" fillId="0" borderId="8" xfId="62" applyNumberFormat="1" applyFont="1" applyBorder="1" applyAlignment="1">
      <x:alignment horizontal="left" vertical="center"/>
    </x:xf>
    <x:xf numFmtId="0" fontId="1" fillId="0" borderId="9" xfId="0" applyFont="1" applyFill="1" applyBorder="1" applyAlignment="1"/>
    <x:xf numFmtId="0" fontId="1" fillId="0" borderId="10" xfId="62" applyFont="1" applyBorder="1" applyAlignment="1">
      <x:alignment horizontal="center" vertical="center"/>
    </x:xf>
    <x:xf numFmtId="0" fontId="1" fillId="0" borderId="11" xfId="0" applyFont="1" applyFill="1" applyBorder="1" applyAlignment="1"/>
    <x:xf numFmtId="0" fontId="1" fillId="0" borderId="12" xfId="0" applyFont="1" applyFill="1" applyBorder="1" applyAlignment="1"/>
    <x:xf numFmtId="0" fontId="6" fillId="0" borderId="13" xfId="63" applyFont="1" applyBorder="1" applyAlignment="1">
      <x:alignment horizontal="center" vertical="center"/>
    </x:xf>
    <x:xf numFmtId="181" fontId="1" fillId="0" borderId="11" xfId="0" applyNumberFormat="1" applyFont="1" applyFill="1" applyBorder="1" applyAlignment="1"/>
    <x:xf numFmtId="0" fontId="1" fillId="0" borderId="11" xfId="0" applyFont="1" applyFill="1" applyBorder="1" applyAlignment="1"/>
    <x:xf numFmtId="0" fontId="6" fillId="0" borderId="11" xfId="63" applyFont="1" applyBorder="1" applyAlignment="1">
      <x:alignment horizontal="center" vertical="center"/>
    </x:xf>
    <x:xf numFmtId="14" fontId="6" fillId="0" borderId="14" xfId="62" applyNumberFormat="1" applyFont="1" applyBorder="1" applyAlignment="1">
      <x:alignment horizontal="center" vertical="center"/>
    </x:xf>
    <x:xf numFmtId="0" fontId="1" fillId="0" borderId="12" xfId="0" applyFont="1" applyFill="1" applyBorder="1" applyAlignment="1"/>
    <x:xf numFmtId="14" fontId="6" fillId="0" borderId="15" xfId="62" applyNumberFormat="1" applyFont="1" applyBorder="1" applyAlignment="1">
      <x:alignment horizontal="center" vertical="center"/>
    </x:xf>
    <x:xf numFmtId="0" fontId="1" fillId="0" borderId="16" xfId="0" applyFont="1" applyFill="1" applyBorder="1" applyAlignment="1"/>
    <x:xf numFmtId="0" fontId="10" fillId="0" borderId="17" xfId="62" applyFont="1" applyBorder="1" applyAlignment="1">
      <x:alignment horizontal="left" vertical="center"/>
    </x:xf>
    <x:xf numFmtId="0" fontId="1" fillId="0" borderId="18" xfId="0" applyFont="1" applyFill="1" applyBorder="1" applyAlignment="1"/>
    <x:xf numFmtId="0" fontId="8" fillId="0" borderId="19" xfId="62" applyBorder="1" applyAlignment="1">
      <x:alignment horizontal="center" vertical="center"/>
    </x:xf>
    <x:xf numFmtId="0" fontId="1" fillId="0" borderId="19" xfId="0" applyFont="1" applyFill="1" applyBorder="1" applyAlignment="1"/>
    <x:xf numFmtId="0" fontId="10" fillId="0" borderId="20" xfId="62" applyFont="1" applyBorder="1" applyAlignment="1">
      <x:alignment horizontal="left" vertical="center"/>
    </x:xf>
    <x:xf numFmtId="181" fontId="1" fillId="0" borderId="19" xfId="0" applyNumberFormat="1" applyFont="1" applyFill="1" applyBorder="1" applyAlignment="1"/>
    <x:xf numFmtId="14" fontId="10" fillId="0" borderId="21" xfId="62" applyNumberFormat="1" applyFont="1" applyBorder="1" applyAlignment="1">
      <x:alignment horizontal="left" vertical="center"/>
    </x:xf>
    <x:xf numFmtId="0" fontId="1" fillId="0" borderId="22" xfId="0" applyFont="1" applyFill="1" applyBorder="1" applyAlignment="1"/>
    <x:xf numFmtId="0" fontId="1" fillId="0" borderId="10" xfId="62" applyFont="1" applyBorder="1" applyAlignment="1">
      <x:alignment horizontal="center" vertical="center"/>
    </x:xf>
    <x:xf numFmtId="0" fontId="1" fillId="0" borderId="14" xfId="62" applyFont="1" applyBorder="1" applyAlignment="1">
      <x:alignment horizontal="center" vertical="center"/>
    </x:xf>
    <x:xf numFmtId="181" fontId="1" fillId="0" borderId="12" xfId="0" applyNumberFormat="1" applyFont="1" applyFill="1" applyBorder="1" applyAlignment="1"/>
    <x:xf numFmtId="0" fontId="11" fillId="0" borderId="14" xfId="62" applyFont="1" applyBorder="1" applyAlignment="1">
      <x:alignment horizontal="left" vertical="center"/>
    </x:xf>
    <x:xf numFmtId="0" fontId="7" fillId="0" borderId="13" xfId="62" applyFont="1" applyBorder="1" applyAlignment="1">
      <x:alignment horizontal="center" vertical="center"/>
    </x:xf>
    <x:xf numFmtId="0" fontId="3" fillId="2" borderId="16" xfId="62" applyFont="1" applyFill="1" applyBorder="1" applyAlignment="1">
      <x:alignment horizontal="center" vertical="center"/>
    </x:xf>
    <x:xf numFmtId="0" fontId="1" fillId="0" borderId="16" xfId="0" applyFont="1" applyFill="1" applyBorder="1" applyAlignment="1"/>
    <x:xf numFmtId="0" fontId="1" fillId="0" borderId="0" xfId="62" applyFont="1" applyAlignment="1">
      <x:alignment horizontal="center" vertical="center"/>
    </x:xf>
    <x:xf numFmtId="0" fontId="10" fillId="0" borderId="23" xfId="62" applyFont="1" applyBorder="1" applyAlignment="1">
      <x:alignment horizontal="left" vertical="center"/>
    </x:xf>
    <x:xf numFmtId="181" fontId="1" fillId="0" borderId="18" xfId="0" applyNumberFormat="1" applyFont="1" applyFill="1" applyBorder="1" applyAlignment="1"/>
    <x:xf numFmtId="0" fontId="10" fillId="0" borderId="18" xfId="62" applyFont="1" applyBorder="1" applyAlignment="1">
      <x:alignment horizontal="left" vertical="center"/>
    </x:xf>
    <x:xf numFmtId="0" fontId="10" fillId="0" borderId="21" xfId="62" applyFont="1" applyBorder="1" applyAlignment="1">
      <x:alignment horizontal="left" vertical="center"/>
    </x:xf>
    <x:xf numFmtId="0" fontId="1" fillId="0" borderId="13" xfId="62" applyFont="1" applyBorder="1" applyAlignment="1">
      <x:alignment horizontal="center" vertical="center"/>
    </x:xf>
    <x:xf numFmtId="181" fontId="1" fillId="0" borderId="11" xfId="0" applyNumberFormat="1" applyFont="1" applyFill="1" applyBorder="1" applyAlignment="1"/>
    <x:xf numFmtId="0" fontId="1" fillId="0" borderId="11" xfId="62" applyFont="1" applyBorder="1" applyAlignment="1">
      <x:alignment horizontal="center" vertical="center"/>
    </x:xf>
    <x:xf numFmtId="0" fontId="1" fillId="0" borderId="14" xfId="62" applyFont="1" applyBorder="1" applyAlignment="1">
      <x:alignment horizontal="center" vertical="center"/>
    </x:xf>
    <x:xf numFmtId="0" fontId="1" fillId="0" borderId="15" xfId="62" applyFont="1" applyBorder="1" applyAlignment="1">
      <x:alignment horizontal="left" vertical="center"/>
    </x:xf>
    <x:xf numFmtId="0" fontId="10" fillId="0" borderId="24" xfId="62" applyFont="1" applyBorder="1" applyAlignment="1">
      <x:alignment horizontal="left" vertical="center"/>
    </x:xf>
    <x:xf numFmtId="0" fontId="6" fillId="0" borderId="10" xfId="62" applyFont="1" applyBorder="1" applyAlignment="1">
      <x:alignment horizontal="center" vertical="center"/>
    </x:xf>
    <x:xf numFmtId="0" fontId="11" fillId="2" borderId="14" xfId="62" applyFont="1" applyFill="1" applyBorder="1" applyAlignment="1">
      <x:alignment horizontal="center" vertical="center"/>
    </x:xf>
    <x:xf numFmtId="0" fontId="11" fillId="2" borderId="15" xfId="62" applyFont="1" applyFill="1" applyBorder="1" applyAlignment="1">
      <x:alignment horizontal="center" vertical="center"/>
    </x:xf>
    <x:xf numFmtId="0" fontId="10" fillId="0" borderId="20" xfId="62" applyFont="1" applyBorder="1" applyAlignment="1">
      <x:alignment horizontal="left" vertical="center" wrapText="1"/>
    </x:xf>
    <x:xf numFmtId="0" fontId="10" fillId="0" borderId="19" xfId="62" applyFont="1" applyBorder="1" applyAlignment="1">
      <x:alignment horizontal="left" vertical="center"/>
    </x:xf>
    <x:xf numFmtId="0" fontId="12" fillId="0" borderId="0" xfId="0" applyFont="1" applyFill="1" applyAlignment="1"/>
    <x:xf numFmtId="0" fontId="7" fillId="0" borderId="10" xfId="62" applyFont="1" applyBorder="1" applyAlignment="1">
      <x:alignment horizontal="center" vertical="center"/>
    </x:xf>
    <x:xf numFmtId="0" fontId="6" fillId="0" borderId="14" xfId="62" applyFont="1" applyBorder="1" applyAlignment="1">
      <x:alignment horizontal="center" vertical="center"/>
    </x:xf>
    <x:xf numFmtId="0" fontId="7" fillId="0" borderId="14" xfId="62" applyFont="1" applyBorder="1" applyAlignment="1">
      <x:alignment horizontal="center" vertical="center"/>
    </x:xf>
    <x:xf numFmtId="0" fontId="7" fillId="0" borderId="11" xfId="62" applyFont="1" applyBorder="1" applyAlignment="1">
      <x:alignment horizontal="center" vertical="center"/>
    </x:xf>
    <x:xf numFmtId="0" fontId="7" fillId="0" borderId="12" xfId="62" applyFont="1" applyBorder="1" applyAlignment="1">
      <x:alignment horizontal="center" vertical="center"/>
    </x:xf>
    <x:xf numFmtId="0" fontId="7" fillId="0" borderId="15" xfId="62" applyFont="1" applyBorder="1" applyAlignment="1">
      <x:alignment horizontal="center" vertical="center"/>
    </x:xf>
    <x:xf numFmtId="0" fontId="13" fillId="0" borderId="0" xfId="0" applyFont="1" applyFill="1" applyAlignment="1"/>
    <x:xf numFmtId="181" fontId="10" fillId="0" borderId="23" xfId="62" applyNumberFormat="1" applyFont="1" applyBorder="1" applyAlignment="1">
      <x:alignment horizontal="left" vertical="center"/>
    </x:xf>
    <x:xf numFmtId="0" fontId="10" fillId="0" borderId="19" xfId="62" applyFont="1" applyBorder="1" applyAlignment="1">
      <x:alignment horizontal="center" vertical="center"/>
    </x:xf>
    <x:xf numFmtId="1" fontId="6" fillId="0" borderId="14" xfId="62" applyNumberFormat="1" applyFont="1" applyBorder="1" applyAlignment="1">
      <x:alignment horizontal="center" vertical="center"/>
    </x:xf>
    <x:xf numFmtId="181" fontId="10" fillId="0" borderId="14" xfId="62" applyNumberFormat="1" applyFont="1" applyBorder="1" applyAlignment="1">
      <x:alignment horizontal="left" vertical="center"/>
    </x:xf>
    <x:xf numFmtId="2" fontId="6" fillId="0" borderId="14" xfId="62" applyNumberFormat="1" applyFont="1" applyBorder="1" applyAlignment="1">
      <x:alignment horizontal="center" vertical="center"/>
    </x:xf>
    <x:xf numFmtId="2" fontId="6" fillId="0" borderId="15" xfId="62" applyNumberFormat="1" applyFont="1" applyBorder="1" applyAlignment="1">
      <x:alignment horizontal="center" vertical="center"/>
    </x:xf>
    <x:xf numFmtId="0" fontId="10" fillId="0" borderId="22" xfId="62" applyFont="1" applyBorder="1" applyAlignment="1">
      <x:alignment horizontal="left" vertical="center"/>
    </x:xf>
    <x:xf numFmtId="0" fontId="14" fillId="2" borderId="25" xfId="62" applyFont="1" applyFill="1" applyBorder="1" applyAlignment="1">
      <x:alignment horizontal="center" vertical="center" wrapText="1"/>
    </x:xf>
    <x:xf numFmtId="0" fontId="6" fillId="0" borderId="2" xfId="62" applyFont="1" applyBorder="1" applyAlignment="1">
      <x:alignment horizontal="center" vertical="center"/>
    </x:xf>
    <x:xf numFmtId="181" fontId="1" fillId="0" borderId="2" xfId="0" applyNumberFormat="1" applyFont="1" applyFill="1" applyBorder="1" applyAlignment="1"/>
    <x:xf numFmtId="0" fontId="6" fillId="0" borderId="26" xfId="62" applyFont="1" applyBorder="1" applyAlignment="1">
      <x:alignment horizontal="center" vertical="center"/>
    </x:xf>
    <x:xf numFmtId="0" fontId="1" fillId="0" borderId="26" xfId="0" applyFont="1" applyFill="1" applyBorder="1" applyAlignment="1"/>
    <x:xf numFmtId="0" fontId="15" fillId="0" borderId="0" xfId="0" applyFont="1" applyFill="1" applyAlignment="1"/>
    <x:xf numFmtId="0" fontId="10" fillId="0" borderId="27" xfId="62" applyFont="1" applyBorder="1" applyAlignment="1">
      <x:alignment horizontal="left" vertical="center"/>
    </x:xf>
    <x:xf numFmtId="0" fontId="1" fillId="0" borderId="28" xfId="0" applyFont="1" applyFill="1" applyBorder="1" applyAlignment="1"/>
    <x:xf numFmtId="0" fontId="16" fillId="2" borderId="29" xfId="62" applyFont="1" applyFill="1" applyBorder="1" applyAlignment="1">
      <x:alignment horizontal="center" vertical="center"/>
    </x:xf>
    <x:xf numFmtId="0" fontId="6" fillId="0" borderId="0" xfId="62" applyFont="1" applyAlignment="1">
      <x:alignment vertical="center" wrapText="1"/>
    </x:xf>
    <x:xf numFmtId="181" fontId="6" fillId="0" borderId="0" xfId="62" applyNumberFormat="1" applyFont="1" applyAlignment="1">
      <x:alignment vertical="center" wrapText="1"/>
    </x:xf>
    <x:xf numFmtId="0" fontId="6" fillId="0" borderId="4" xfId="62" applyFont="1" applyBorder="1" applyAlignment="1">
      <x:alignment vertical="center" wrapText="1"/>
    </x:xf>
    <x:xf numFmtId="0" fontId="6" fillId="0" borderId="9" xfId="62" applyFont="1" applyBorder="1" applyAlignment="1">
      <x:alignment vertical="center" wrapText="1"/>
    </x:xf>
    <x:xf numFmtId="0" fontId="6" fillId="0" borderId="30" xfId="62" applyFont="1" applyBorder="1" applyAlignment="1">
      <x:alignment horizontal="center" vertical="center" wrapText="1"/>
    </x:xf>
    <x:xf numFmtId="0" fontId="1" fillId="0" borderId="0" xfId="0" applyFont="1" applyFill="1" applyAlignment="1"/>
    <x:xf numFmtId="0" fontId="6" fillId="0" borderId="0" xfId="62" applyFont="1" applyAlignment="1">
      <x:alignment vertical="center" wrapText="1"/>
    </x:xf>
    <x:xf numFmtId="0" fontId="11" fillId="0" borderId="0" xfId="62" applyFont="1" applyAlignment="1">
      <x:alignment horizontal="center" vertical="center" wrapText="1"/>
    </x:xf>
    <x:xf numFmtId="181" fontId="11" fillId="0" borderId="0" xfId="62" applyNumberFormat="1" applyFont="1" applyAlignment="1">
      <x:alignment horizontal="center" vertical="center" wrapText="1"/>
    </x:xf>
    <x:xf numFmtId="0" fontId="11" fillId="0" borderId="0" xfId="62" applyFont="1" applyAlignment="1">
      <x:alignment vertical="center" wrapText="1"/>
    </x:xf>
    <x:xf numFmtId="0" fontId="11" fillId="0" borderId="26" xfId="62" applyFont="1" applyBorder="1" applyAlignment="1">
      <x:alignment horizontal="center" vertical="center" wrapText="1"/>
    </x:xf>
    <x:xf numFmtId="0" fontId="1" fillId="0" borderId="31" xfId="0" applyFont="1" applyFill="1" applyBorder="1" applyAlignment="1"/>
    <x:xf numFmtId="0" fontId="6" fillId="0" borderId="25" xfId="62" applyFont="1" applyBorder="1" applyAlignment="1">
      <x:alignment vertical="center" wrapText="1"/>
    </x:xf>
    <x:xf numFmtId="0" fontId="6" fillId="0" borderId="2" xfId="62" applyFont="1" applyBorder="1" applyAlignment="1">
      <x:alignment vertical="center" wrapText="1"/>
    </x:xf>
    <x:xf numFmtId="0" fontId="11" fillId="0" borderId="2" xfId="62" applyFont="1" applyBorder="1" applyAlignment="1">
      <x:alignment vertical="center" wrapText="1"/>
    </x:xf>
    <x:xf numFmtId="181" fontId="11" fillId="0" borderId="2" xfId="62" applyNumberFormat="1" applyFont="1" applyBorder="1" applyAlignment="1">
      <x:alignment vertical="center" wrapText="1"/>
    </x:xf>
    <x:xf numFmtId="0" fontId="1" fillId="0" borderId="26" xfId="0" applyFont="1" applyFill="1" applyBorder="1" applyAlignment="1"/>
    <x:xf numFmtId="0" fontId="10" fillId="0" borderId="27" xfId="62" applyFont="1" applyBorder="1" applyAlignment="1">
      <x:alignment horizontal="center" vertical="center"/>
    </x:xf>
    <x:xf numFmtId="0" fontId="10" fillId="0" borderId="29" xfId="62" applyFont="1" applyBorder="1" applyAlignment="1">
      <x:alignment horizontal="center" vertical="center"/>
    </x:xf>
    <x:xf numFmtId="181" fontId="10" fillId="0" borderId="32" xfId="62" applyNumberFormat="1" applyFont="1" applyBorder="1" applyAlignment="1">
      <x:alignment horizontal="center" vertical="center"/>
    </x:xf>
    <x:xf numFmtId="0" fontId="1" fillId="0" borderId="33" xfId="0" applyFont="1" applyFill="1" applyBorder="1" applyAlignment="1"/>
    <x:xf numFmtId="0" fontId="10" fillId="0" borderId="34" xfId="62" applyFont="1" applyBorder="1" applyAlignment="1">
      <x:alignment horizontal="center" vertical="center"/>
    </x:xf>
    <x:xf numFmtId="0" fontId="10" fillId="0" borderId="35" xfId="62" applyFont="1" applyBorder="1" applyAlignment="1">
      <x:alignment horizontal="center" vertical="center"/>
    </x:xf>
    <x:xf numFmtId="0" fontId="1" fillId="0" borderId="34" xfId="0" applyFont="1" applyFill="1" applyBorder="1" applyAlignment="1"/>
    <x:xf numFmtId="0" fontId="10" fillId="0" borderId="36" xfId="62" applyFont="1" applyBorder="1" applyAlignment="1">
      <x:alignment horizontal="center" vertical="center"/>
    </x:xf>
    <x:xf numFmtId="0" fontId="1" fillId="0" borderId="36" xfId="0" applyFont="1" applyFill="1" applyBorder="1" applyAlignment="1"/>
    <x:xf numFmtId="0" fontId="10" fillId="0" borderId="37" xfId="62" applyFont="1" applyBorder="1" applyAlignment="1">
      <x:alignment vertical="center"/>
    </x:xf>
    <x:xf numFmtId="0" fontId="10" fillId="0" borderId="38" xfId="62" applyFont="1" applyBorder="1" applyAlignment="1">
      <x:alignment horizontal="center" vertical="center"/>
    </x:xf>
    <x:xf numFmtId="0" fontId="10" fillId="0" borderId="1" xfId="62" applyFont="1" applyBorder="1" applyAlignment="1">
      <x:alignment horizontal="center" vertical="center"/>
    </x:xf>
    <x:xf numFmtId="0" fontId="6" fillId="0" borderId="39" xfId="62" applyFont="1" applyBorder="1" applyAlignment="1">
      <x:alignment horizontal="center" vertical="center"/>
    </x:xf>
    <x:xf numFmtId="0" fontId="7" fillId="0" borderId="1" xfId="62" applyFont="1" applyBorder="1" applyAlignment="1">
      <x:alignment horizontal="center" vertical="center"/>
    </x:xf>
    <x:xf numFmtId="0" fontId="1" fillId="0" borderId="40" xfId="0" applyFont="1" applyFill="1" applyBorder="1" applyAlignment="1"/>
    <x:xf numFmtId="0" fontId="17" fillId="0" borderId="41" xfId="62" applyFont="1" applyBorder="1" applyAlignment="1">
      <x:alignment horizontal="center" vertical="center" wrapText="1"/>
    </x:xf>
    <x:xf numFmtId="0" fontId="17" fillId="0" borderId="1" xfId="62" applyFont="1" applyBorder="1" applyAlignment="1">
      <x:alignment horizontal="left" vertical="center" wrapText="1"/>
    </x:xf>
    <x:xf numFmtId="181" fontId="6" fillId="0" borderId="42" xfId="62" applyNumberFormat="1" applyFont="1" applyBorder="1" applyAlignment="1">
      <x:alignment horizontal="center" vertical="center"/>
    </x:xf>
    <x:xf numFmtId="182" fontId="6" fillId="0" borderId="42" xfId="62" applyNumberFormat="1" applyFont="1" applyBorder="1" applyAlignment="1">
      <x:alignment horizontal="center" vertical="center"/>
    </x:xf>
    <x:xf numFmtId="0" fontId="1" fillId="0" borderId="43" xfId="62" applyFont="1" applyBorder="1" applyAlignment="1">
      <x:alignment horizontal="center" vertical="center"/>
    </x:xf>
    <x:xf numFmtId="0" fontId="1" fillId="0" borderId="44" xfId="62" applyFont="1" applyBorder="1" applyAlignment="1">
      <x:alignment horizontal="center" vertical="center"/>
    </x:xf>
    <x:xf numFmtId="0" fontId="1" fillId="0" borderId="42" xfId="0" applyFont="1" applyFill="1" applyBorder="1" applyAlignment="1"/>
    <x:xf numFmtId="0" fontId="7" fillId="0" borderId="44" xfId="62" applyFont="1" applyBorder="1" applyAlignment="1">
      <x:alignment horizontal="center" vertical="center"/>
    </x:xf>
    <x:xf numFmtId="0" fontId="7" fillId="0" borderId="44" xfId="62" applyFont="1" applyBorder="1" applyAlignment="1">
      <x:alignment horizontal="center" vertical="center"/>
    </x:xf>
    <x:xf numFmtId="0" fontId="7" fillId="0" borderId="44" xfId="62" applyFont="1" applyBorder="1" applyAlignment="1">
      <x:alignment horizontal="center" vertical="center"/>
    </x:xf>
    <x:xf numFmtId="0" fontId="1" fillId="0" borderId="43" xfId="62" applyFont="1" applyBorder="1" applyAlignment="1">
      <x:alignment horizontal="center" vertical="center"/>
    </x:xf>
    <x:xf numFmtId="0" fontId="8" fillId="0" borderId="41" xfId="62" applyBorder="1" applyAlignment="1">
      <x:alignment horizontal="center" vertical="center" wrapText="1"/>
    </x:xf>
    <x:xf numFmtId="0" fontId="8" fillId="0" borderId="1" xfId="62" applyBorder="1" applyAlignment="1">
      <x:alignment horizontal="center" vertical="center" wrapText="1"/>
    </x:xf>
    <x:xf numFmtId="0" fontId="7" fillId="0" borderId="1" xfId="62" applyFont="1" applyBorder="1" applyAlignment="1">
      <x:alignment horizontal="center" vertical="center"/>
    </x:xf>
    <x:xf numFmtId="0" fontId="8" fillId="0" borderId="42" xfId="62" applyBorder="1" applyAlignment="1">
      <x:alignment horizontal="left" vertical="center" wrapText="1"/>
    </x:xf>
    <x:xf numFmtId="0" fontId="1" fillId="0" borderId="41" xfId="0" applyFont="1" applyFill="1" applyBorder="1" applyAlignment="1"/>
    <x:xf numFmtId="0" fontId="1" fillId="0" borderId="42" xfId="0" applyFont="1" applyFill="1" applyBorder="1" applyAlignment="1"/>
    <x:xf numFmtId="181" fontId="6" fillId="0" borderId="44" xfId="62" applyNumberFormat="1" applyFont="1" applyBorder="1" applyAlignment="1">
      <x:alignment horizontal="right" vertical="center"/>
    </x:xf>
    <x:xf numFmtId="183" fontId="7" fillId="0" borderId="44" xfId="62" applyNumberFormat="1" applyFont="1" applyBorder="1" applyAlignment="1">
      <x:alignment horizontal="center" vertical="center"/>
    </x:xf>
    <x:xf numFmtId="183" fontId="7" fillId="0" borderId="44" xfId="62" applyNumberFormat="1" applyFont="1" applyBorder="1" applyAlignment="1">
      <x:alignment vertical="center"/>
    </x:xf>
    <x:xf numFmtId="0" fontId="7" fillId="0" borderId="44" xfId="62" applyFont="1" applyBorder="1" applyAlignment="1">
      <x:alignment horizontal="left" vertical="center"/>
    </x:xf>
    <x:xf numFmtId="0" fontId="1" fillId="0" borderId="43" xfId="62" applyFont="1" applyBorder="1" applyAlignment="1">
      <x:alignment horizontal="left" vertical="center"/>
    </x:xf>
    <x:xf numFmtId="0" fontId="18" fillId="0" borderId="23" xfId="62" applyFont="1" applyBorder="1" applyAlignment="1">
      <x:alignment horizontal="left" vertical="top"/>
    </x:xf>
    <x:xf numFmtId="0" fontId="19" fillId="0" borderId="18" xfId="62" applyFont="1" applyBorder="1" applyAlignment="1">
      <x:alignment horizontal="left" vertical="top"/>
    </x:xf>
    <x:xf numFmtId="181" fontId="19" fillId="0" borderId="18" xfId="62" applyNumberFormat="1" applyFont="1" applyBorder="1" applyAlignment="1">
      <x:alignment horizontal="left" vertical="top"/>
    </x:xf>
    <x:xf numFmtId="0" fontId="19" fillId="0" borderId="18" xfId="62" applyFont="1" applyBorder="1" applyAlignment="1">
      <x:alignment horizontal="center" vertical="top"/>
    </x:xf>
    <x:xf numFmtId="0" fontId="1" fillId="0" borderId="18" xfId="0" applyFont="1" applyFill="1" applyBorder="1" applyAlignment="1"/>
    <x:xf numFmtId="183" fontId="19" fillId="0" borderId="18" xfId="62" applyNumberFormat="1" applyFont="1" applyBorder="1" applyAlignment="1">
      <x:alignment horizontal="center" vertical="top"/>
    </x:xf>
    <x:xf numFmtId="0" fontId="19" fillId="0" borderId="19" xfId="62" applyFont="1" applyBorder="1" applyAlignment="1">
      <x:alignment horizontal="left" vertical="top"/>
    </x:xf>
    <x:xf numFmtId="0" fontId="18" fillId="0" borderId="45" xfId="62" applyFont="1" applyBorder="1" applyAlignment="1">
      <x:alignment horizontal="left" vertical="top"/>
    </x:xf>
    <x:xf numFmtId="0" fontId="19" fillId="0" borderId="0" xfId="62" applyFont="1" applyAlignment="1">
      <x:alignment horizontal="left" vertical="top"/>
    </x:xf>
    <x:xf numFmtId="181" fontId="19" fillId="0" borderId="0" xfId="62" applyNumberFormat="1" applyFont="1" applyAlignment="1">
      <x:alignment horizontal="left" vertical="top"/>
    </x:xf>
    <x:xf numFmtId="0" fontId="19" fillId="0" borderId="46" xfId="62" applyFont="1" applyBorder="1" applyAlignment="1">
      <x:alignment horizontal="left" vertical="top"/>
    </x:xf>
    <x:xf numFmtId="0" fontId="19" fillId="0" borderId="13" xfId="62" applyFont="1" applyBorder="1" applyAlignment="1">
      <x:alignment horizontal="left" vertical="top"/>
    </x:xf>
    <x:xf numFmtId="0" fontId="19" fillId="0" borderId="11" xfId="62" applyFont="1" applyBorder="1" applyAlignment="1">
      <x:alignment horizontal="left" vertical="top"/>
    </x:xf>
    <x:xf numFmtId="181" fontId="19" fillId="0" borderId="11" xfId="62" applyNumberFormat="1" applyFont="1" applyBorder="1" applyAlignment="1">
      <x:alignment horizontal="left" vertical="top"/>
    </x:xf>
    <x:xf numFmtId="0" fontId="19" fillId="0" borderId="12" xfId="62" applyFont="1" applyBorder="1" applyAlignment="1">
      <x:alignment horizontal="left" vertical="top"/>
    </x:xf>
    <x:xf numFmtId="0" fontId="18" fillId="0" borderId="23" xfId="62" applyFont="1" applyBorder="1" applyAlignment="1">
      <x:alignment horizontal="left" vertical="center"/>
    </x:xf>
    <x:xf numFmtId="0" fontId="18" fillId="0" borderId="18" xfId="62" applyFont="1" applyBorder="1" applyAlignment="1">
      <x:alignment horizontal="left" vertical="center"/>
    </x:xf>
    <x:xf numFmtId="0" fontId="18" fillId="0" borderId="19" xfId="62" applyFont="1" applyBorder="1" applyAlignment="1">
      <x:alignment horizontal="left" vertical="center"/>
    </x:xf>
    <x:xf numFmtId="0" fontId="18" fillId="0" borderId="20" xfId="62" applyFont="1" applyBorder="1" applyAlignment="1">
      <x:alignment horizontal="center" vertical="center" wrapText="1"/>
    </x:xf>
    <x:xf numFmtId="0" fontId="19" fillId="0" borderId="13" xfId="62" applyFont="1" applyBorder="1" applyAlignment="1">
      <x:alignment horizontal="center" vertical="center"/>
    </x:xf>
    <x:xf numFmtId="0" fontId="19" fillId="0" borderId="11" xfId="62" applyFont="1" applyBorder="1" applyAlignment="1">
      <x:alignment horizontal="center" vertical="center"/>
    </x:xf>
    <x:xf numFmtId="184" fontId="19" fillId="0" borderId="11" xfId="62" applyNumberFormat="1" applyFont="1" applyBorder="1" applyAlignment="1">
      <x:alignment horizontal="center" vertical="center" wrapText="1"/>
    </x:xf>
    <x:xf numFmtId="184" fontId="19" fillId="0" borderId="12" xfId="62" applyNumberFormat="1" applyFont="1" applyBorder="1" applyAlignment="1">
      <x:alignment horizontal="center" vertical="center" wrapText="1"/>
    </x:xf>
    <x:xf numFmtId="184" fontId="19" fillId="0" borderId="0" xfId="62" applyNumberFormat="1" applyFont="1" applyAlignment="1">
      <x:alignment horizontal="center" vertical="center" wrapText="1"/>
    </x:xf>
    <x:xf numFmtId="181" fontId="19" fillId="0" borderId="0" xfId="62" applyNumberFormat="1" applyFont="1" applyAlignment="1">
      <x:alignment horizontal="right" vertical="center"/>
    </x:xf>
    <x:xf numFmtId="0" fontId="19" fillId="0" borderId="0" xfId="62" applyFont="1" applyAlignment="1">
      <x:alignment horizontal="center" vertical="center" wrapText="1"/>
    </x:xf>
    <x:xf numFmtId="0" fontId="19" fillId="0" borderId="46" xfId="62" applyFont="1" applyBorder="1" applyAlignment="1">
      <x:alignment horizontal="center" vertical="center" wrapText="1"/>
    </x:xf>
    <x:xf numFmtId="0" fontId="18" fillId="0" borderId="0" xfId="62" applyFont="1" applyAlignment="1">
      <x:alignment horizontal="center" vertical="center"/>
    </x:xf>
    <x:xf numFmtId="0" fontId="18" fillId="0" borderId="0" xfId="62" applyFont="1" applyAlignment="1">
      <x:alignment horizontal="left" vertical="center"/>
    </x:xf>
    <x:xf numFmtId="2" fontId="18" fillId="0" borderId="46" xfId="62" applyNumberFormat="1" applyFont="1" applyBorder="1" applyAlignment="1">
      <x:alignment vertical="center"/>
    </x:xf>
    <x:xf numFmtId="0" fontId="18" fillId="0" borderId="45" xfId="62" applyFont="1" applyBorder="1" applyAlignment="1">
      <x:alignment vertical="center"/>
    </x:xf>
    <x:xf numFmtId="0" fontId="19" fillId="0" borderId="0" xfId="62" applyFont="1" applyAlignment="1">
      <x:alignment horizontal="center" vertical="center"/>
    </x:xf>
    <x:xf numFmtId="0" fontId="18" fillId="0" borderId="45" xfId="62" applyFont="1" applyBorder="1" applyAlignment="1">
      <x:alignment horizontal="center" vertical="center" wrapText="1"/>
    </x:xf>
    <x:xf numFmtId="0" fontId="18" fillId="0" borderId="0" xfId="0" applyFont="1" applyFill="1" applyAlignment="1">
      <x:alignment horizontal="center" vertical="center"/>
    </x:xf>
    <x:xf numFmtId="0" fontId="18" fillId="0" borderId="46" xfId="62" applyFont="1" applyBorder="1" applyAlignment="1">
      <x:alignment horizontal="left" vertical="center"/>
    </x:xf>
    <x:xf numFmtId="0" fontId="19" fillId="0" borderId="45" xfId="62" applyFont="1" applyBorder="1" applyAlignment="1">
      <x:alignment horizontal="center" vertical="center"/>
    </x:xf>
    <x:xf numFmtId="184" fontId="18" fillId="0" borderId="0" xfId="62" applyNumberFormat="1" applyFont="1" applyAlignment="1">
      <x:alignment horizontal="center" vertical="center" wrapText="1"/>
    </x:xf>
    <x:xf numFmtId="0" fontId="18" fillId="0" borderId="13" xfId="62" applyFont="1" applyBorder="1" applyAlignment="1">
      <x:alignment horizontal="center" vertical="center"/>
    </x:xf>
    <x:xf numFmtId="0" fontId="18" fillId="0" borderId="11" xfId="62" applyFont="1" applyBorder="1" applyAlignment="1">
      <x:alignment horizontal="center" vertical="center"/>
    </x:xf>
    <x:xf numFmtId="0" fontId="18" fillId="0" borderId="11" xfId="62" applyFont="1" applyBorder="1" applyAlignment="1">
      <x:alignment horizontal="left" vertical="center"/>
    </x:xf>
    <x:xf numFmtId="0" fontId="18" fillId="0" borderId="12" xfId="62" applyFont="1" applyBorder="1" applyAlignment="1">
      <x:alignment vertical="center"/>
    </x:xf>
    <x:xf numFmtId="181" fontId="19" fillId="0" borderId="0" xfId="62" applyNumberFormat="1" applyFont="1" applyAlignment="1">
      <x:alignment horizontal="center" vertical="center" wrapText="1"/>
    </x:xf>
    <x:xf numFmtId="0" fontId="18" fillId="0" borderId="23" xfId="62" applyFont="1" applyBorder="1" applyAlignment="1">
      <x:alignment horizontal="center" vertical="center" wrapText="1"/>
    </x:xf>
    <x:xf numFmtId="0" fontId="18" fillId="0" borderId="46" xfId="62" applyFont="1" applyBorder="1" applyAlignment="1">
      <x:alignment horizontal="center" vertical="center"/>
    </x:xf>
    <x:xf numFmtId="0" fontId="18" fillId="0" borderId="13" xfId="62" applyFont="1" applyBorder="1" applyAlignment="1">
      <x:alignment horizontal="center" vertical="center"/>
    </x:xf>
    <x:xf numFmtId="184" fontId="18" fillId="0" borderId="11" xfId="62" applyNumberFormat="1" applyFont="1" applyBorder="1" applyAlignment="1">
      <x:alignment horizontal="center" vertical="center" wrapText="1"/>
    </x:xf>
    <x:xf numFmtId="181" fontId="18" fillId="0" borderId="11" xfId="62" applyNumberFormat="1" applyFont="1" applyBorder="1" applyAlignment="1">
      <x:alignment horizontal="center" vertical="center" wrapText="1"/>
    </x:xf>
    <x:xf numFmtId="0" fontId="19" fillId="0" borderId="11" xfId="62" applyFont="1" applyBorder="1" applyAlignment="1">
      <x:alignment horizontal="center" vertical="center" wrapText="1"/>
    </x:xf>
    <x:xf numFmtId="0" fontId="19" fillId="0" borderId="12" xfId="62" applyFont="1" applyBorder="1" applyAlignment="1">
      <x:alignment horizontal="center" vertical="center" wrapText="1"/>
    </x:xf>
    <x:xf numFmtId="0" fontId="18" fillId="0" borderId="11" xfId="62" applyFont="1" applyBorder="1" applyAlignment="1">
      <x:alignment vertical="center"/>
    </x:xf>
    <x:xf numFmtId="0" fontId="18" fillId="0" borderId="12" xfId="62" applyFont="1" applyBorder="1" applyAlignment="1">
      <x:alignment vertical="center"/>
    </x:xf>
    <x:xf numFmtId="0" fontId="20" fillId="0" borderId="0" xfId="61" applyFont="1" applyAlignment="1">
      <x:alignment horizontal="center" vertical="center"/>
    </x:xf>
    <x:xf numFmtId="0" fontId="20" fillId="0" borderId="0" xfId="61" applyFont="1"/>
    <x:xf numFmtId="0" fontId="1" fillId="0" borderId="0" xfId="61"/>
    <x:xf numFmtId="0" fontId="21" fillId="0" borderId="0" xfId="61" applyFont="1" applyAlignment="1">
      <x:alignment horizontal="center"/>
    </x:xf>
    <x:xf numFmtId="0" fontId="22" fillId="0" borderId="0" xfId="61" applyFont="1" applyAlignment="1">
      <x:alignment horizontal="center"/>
    </x:xf>
    <x:xf numFmtId="14" fontId="1" fillId="0" borderId="0" xfId="61" applyNumberFormat="1" applyAlignment="1">
      <x:alignment horizontal="center"/>
    </x:xf>
    <x:xf numFmtId="0" fontId="20" fillId="0" borderId="0" xfId="61" applyFont="1" applyAlignment="1">
      <x:alignment horizontal="left"/>
    </x:xf>
    <x:xf numFmtId="0" fontId="1" fillId="0" borderId="0" xfId="61" applyAlignment="1">
      <x:alignment horizontal="left"/>
    </x:xf>
    <x:xf numFmtId="0" fontId="1" fillId="0" borderId="20" xfId="61" applyBorder="1" applyAlignment="1">
      <x:alignment horizontal="center"/>
    </x:xf>
    <x:xf numFmtId="0" fontId="1" fillId="0" borderId="23" xfId="61" applyBorder="1" applyAlignment="1">
      <x:alignment horizontal="center"/>
    </x:xf>
    <x:xf numFmtId="0" fontId="1" fillId="0" borderId="14" xfId="61" applyBorder="1" applyAlignment="1">
      <x:alignment horizontal="center"/>
    </x:xf>
    <x:xf numFmtId="0" fontId="1" fillId="0" borderId="13" xfId="61" applyBorder="1" applyAlignment="1">
      <x:alignment horizontal="center"/>
    </x:xf>
    <x:xf numFmtId="0" fontId="1" fillId="0" borderId="1" xfId="61" applyBorder="1" applyAlignment="1">
      <x:alignment horizontal="center" vertical="center"/>
    </x:xf>
    <x:xf numFmtId="0" fontId="23" fillId="0" borderId="1" xfId="0" applyFont="1" applyFill="1" applyBorder="1" applyAlignment="1">
      <x:alignment horizontal="center" vertical="center" wrapText="1"/>
    </x:xf>
    <x:xf numFmtId="0" fontId="20" fillId="0" borderId="1" xfId="61" applyFont="1" applyBorder="1" applyAlignment="1">
      <x:alignment horizontal="left" vertical="center" wrapText="1"/>
    </x:xf>
    <x:xf numFmtId="0" fontId="20" fillId="0" borderId="23" xfId="61" applyFont="1" applyBorder="1" applyAlignment="1">
      <x:alignment horizontal="center" vertical="center"/>
    </x:xf>
    <x:xf numFmtId="0" fontId="20" fillId="0" borderId="40" xfId="61" applyFont="1" applyBorder="1" applyAlignment="1">
      <x:alignment horizontal="center" vertical="center" wrapText="1"/>
    </x:xf>
    <x:xf numFmtId="0" fontId="20" fillId="0" borderId="1" xfId="61" applyFont="1" applyBorder="1" applyAlignment="1">
      <x:alignment horizontal="center" vertical="center"/>
    </x:xf>
    <x:xf numFmtId="185" fontId="20" fillId="0" borderId="47" xfId="61" applyNumberFormat="1" applyFont="1" applyBorder="1" applyAlignment="1">
      <x:alignment horizontal="center" vertical="center"/>
    </x:xf>
    <x:xf numFmtId="185" fontId="20" fillId="0" borderId="1" xfId="61" applyNumberFormat="1" applyFont="1" applyBorder="1" applyAlignment="1">
      <x:alignment horizontal="center" vertical="center"/>
    </x:xf>
    <x:xf numFmtId="0" fontId="20" fillId="0" borderId="1" xfId="61" applyFont="1" applyBorder="1" applyAlignment="1">
      <x:alignment horizontal="center" vertical="center" wrapText="1"/>
    </x:xf>
    <x:xf numFmtId="0" fontId="20" fillId="0" borderId="23" xfId="61" applyFont="1" applyBorder="1" applyAlignment="1">
      <x:alignment vertical="center" wrapText="1"/>
    </x:xf>
    <x:xf numFmtId="0" fontId="20" fillId="0" borderId="18" xfId="61" applyFont="1" applyBorder="1" applyAlignment="1">
      <x:alignment horizontal="center" vertical="center"/>
    </x:xf>
    <x:xf numFmtId="0" fontId="20" fillId="0" borderId="19" xfId="61" applyFont="1" applyBorder="1" applyAlignment="1">
      <x:alignment vertical="center"/>
    </x:xf>
    <x:xf numFmtId="0" fontId="20" fillId="0" borderId="23" xfId="61" applyFont="1" applyBorder="1" applyAlignment="1">
      <x:alignment vertical="center"/>
    </x:xf>
    <x:xf numFmtId="185" fontId="20" fillId="0" borderId="23" xfId="61" applyNumberFormat="1" applyFont="1" applyBorder="1" applyAlignment="1">
      <x:alignment vertical="center"/>
    </x:xf>
    <x:xf numFmtId="185" fontId="20" fillId="0" borderId="20" xfId="61" applyNumberFormat="1" applyFont="1" applyBorder="1" applyAlignment="1">
      <x:alignment vertical="center"/>
    </x:xf>
    <x:xf numFmtId="0" fontId="1" fillId="0" borderId="23" xfId="61" applyBorder="1"/>
    <x:xf numFmtId="0" fontId="1" fillId="0" borderId="18" xfId="61" applyBorder="1"/>
    <x:xf numFmtId="0" fontId="1" fillId="0" borderId="19" xfId="61" applyBorder="1"/>
    <x:xf numFmtId="182" fontId="1" fillId="0" borderId="23" xfId="61" applyNumberFormat="1" applyBorder="1"/>
    <x:xf numFmtId="185" fontId="1" fillId="0" borderId="23" xfId="61" applyNumberFormat="1" applyBorder="1"/>
    <x:xf numFmtId="185" fontId="1" fillId="0" borderId="20" xfId="61" applyNumberFormat="1" applyBorder="1"/>
    <x:xf numFmtId="0" fontId="1" fillId="0" borderId="13" xfId="61" applyBorder="1"/>
    <x:xf numFmtId="0" fontId="1" fillId="0" borderId="11" xfId="61" applyBorder="1"/>
    <x:xf numFmtId="0" fontId="1" fillId="0" borderId="12" xfId="61" applyBorder="1"/>
    <x:xf numFmtId="0" fontId="1" fillId="0" borderId="14" xfId="61" applyBorder="1"/>
    <x:xf numFmtId="0" fontId="24" fillId="0" borderId="0" xfId="55" applyFont="1" applyAlignment="1">
      <x:alignment vertical="center" wrapText="1"/>
    </x:xf>
    <x:xf numFmtId="0" fontId="24" fillId="0" borderId="0" xfId="55" applyFont="1" applyAlignment="1">
      <x:alignment vertical="center"/>
    </x:xf>
    <x:xf numFmtId="0" fontId="24" fillId="0" borderId="0" xfId="55" applyNumberFormat="1" applyFont="1" applyAlignment="1">
      <x:alignment vertical="center"/>
    </x:xf>
    <x:xf numFmtId="0" fontId="25" fillId="0" borderId="0" xfId="55" applyFont="1" applyAlignment="1">
      <x:alignment horizontal="center"/>
    </x:xf>
    <x:xf numFmtId="0" fontId="25" fillId="0" borderId="0" xfId="55" applyNumberFormat="1" applyFont="1" applyAlignment="1">
      <x:alignment horizontal="center"/>
    </x:xf>
    <x:xf numFmtId="0" fontId="26" fillId="0" borderId="0" xfId="55" applyFont="1" applyAlignment="1">
      <x:alignment horizontal="center" vertical="top"/>
    </x:xf>
    <x:xf numFmtId="0" fontId="26" fillId="0" borderId="0" xfId="55" applyNumberFormat="1" applyFont="1" applyAlignment="1">
      <x:alignment horizontal="center" vertical="top"/>
    </x:xf>
    <x:xf numFmtId="0" fontId="27" fillId="0" borderId="0" xfId="55" applyFont="1" applyAlignment="1">
      <x:alignment horizontal="center" vertical="center"/>
    </x:xf>
    <x:xf numFmtId="0" fontId="27" fillId="0" borderId="0" xfId="55" applyNumberFormat="1" applyFont="1" applyAlignment="1">
      <x:alignment horizontal="center" vertical="center"/>
    </x:xf>
    <x:xf numFmtId="0" fontId="24" fillId="0" borderId="48" xfId="55" applyFont="1" applyBorder="1" applyAlignment="1">
      <x:alignment horizontal="right" vertical="center"/>
    </x:xf>
    <x:xf numFmtId="0" fontId="24" fillId="0" borderId="49" xfId="55" applyFont="1" applyBorder="1" applyAlignment="1">
      <x:alignment horizontal="left" vertical="center" wrapText="1"/>
    </x:xf>
    <x:xf numFmtId="0" fontId="23" fillId="0" borderId="4" xfId="0" applyFont="1" applyFill="1" applyBorder="1" applyAlignment="1"/>
    <x:xf numFmtId="0" fontId="23" fillId="0" borderId="9" xfId="0" applyFont="1" applyFill="1" applyBorder="1" applyAlignment="1"/>
    <x:xf numFmtId="0" fontId="24" fillId="0" borderId="50" xfId="55" applyFont="1" applyBorder="1" applyAlignment="1">
      <x:alignment horizontal="center" vertical="center"/>
    </x:xf>
    <x:xf numFmtId="0" fontId="23" fillId="0" borderId="51" xfId="0" applyFont="1" applyFill="1" applyBorder="1" applyAlignment="1"/>
    <x:xf numFmtId="0" fontId="24" fillId="0" borderId="52" xfId="55" applyNumberFormat="1" applyFont="1" applyBorder="1" applyAlignment="1">
      <x:alignment horizontal="center" vertical="center"/>
    </x:xf>
    <x:xf numFmtId="0" fontId="24" fillId="0" borderId="53" xfId="55" applyFont="1" applyBorder="1" applyAlignment="1">
      <x:alignment horizontal="right" vertical="center"/>
    </x:xf>
    <x:xf numFmtId="0" fontId="24" fillId="0" borderId="54" xfId="55" applyFont="1" applyBorder="1" applyAlignment="1">
      <x:alignment horizontal="left" vertical="center" wrapText="1"/>
    </x:xf>
    <x:xf numFmtId="0" fontId="23" fillId="0" borderId="31" xfId="0" applyFont="1" applyFill="1" applyBorder="1" applyAlignment="1"/>
    <x:xf numFmtId="0" fontId="23" fillId="0" borderId="55" xfId="0" applyFont="1" applyFill="1" applyBorder="1" applyAlignment="1"/>
    <x:xf numFmtId="0" fontId="23" fillId="0" borderId="56" xfId="0" applyFont="1" applyFill="1" applyBorder="1" applyAlignment="1"/>
    <x:xf numFmtId="0" fontId="23" fillId="0" borderId="57" xfId="0" applyNumberFormat="1" applyFont="1" applyFill="1" applyBorder="1" applyAlignment="1"/>
    <x:xf numFmtId="0" fontId="24" fillId="0" borderId="58" xfId="55" applyFont="1" applyBorder="1" applyAlignment="1">
      <x:alignment horizontal="center" vertical="center"/>
    </x:xf>
    <x:xf numFmtId="0" fontId="23" fillId="0" borderId="59" xfId="0" applyFont="1" applyFill="1" applyBorder="1" applyAlignment="1"/>
    <x:xf numFmtId="0" fontId="24" fillId="0" borderId="60" xfId="55" applyNumberFormat="1" applyFont="1" applyBorder="1" applyAlignment="1">
      <x:alignment horizontal="center" vertical="center"/>
    </x:xf>
    <x:xf numFmtId="0" fontId="24" fillId="0" borderId="61" xfId="55" applyFont="1" applyBorder="1" applyAlignment="1">
      <x:alignment horizontal="right" vertical="center"/>
    </x:xf>
    <x:xf numFmtId="0" fontId="24" fillId="0" borderId="62" xfId="55" applyFont="1" applyBorder="1" applyAlignment="1">
      <x:alignment horizontal="left" vertical="center" wrapText="1"/>
    </x:xf>
    <x:xf numFmtId="0" fontId="23" fillId="0" borderId="2" xfId="0" applyFont="1" applyFill="1" applyBorder="1" applyAlignment="1"/>
    <x:xf numFmtId="0" fontId="23" fillId="0" borderId="26" xfId="0" applyFont="1" applyFill="1" applyBorder="1" applyAlignment="1"/>
    <x:xf numFmtId="0" fontId="24" fillId="0" borderId="49" xfId="55" applyFont="1" applyBorder="1" applyAlignment="1">
      <x:alignment horizontal="left" vertical="center"/>
    </x:xf>
    <x:xf numFmtId="0" fontId="24" fillId="0" borderId="63" xfId="55" applyFont="1" applyBorder="1" applyAlignment="1">
      <x:alignment horizontal="center" vertical="center"/>
    </x:xf>
    <x:xf numFmtId="0" fontId="23" fillId="0" borderId="4" xfId="0" applyNumberFormat="1" applyFont="1" applyFill="1" applyBorder="1" applyAlignment="1"/>
    <x:xf numFmtId="0" fontId="23" fillId="0" borderId="25" xfId="0" applyFont="1" applyFill="1" applyBorder="1" applyAlignment="1"/>
    <x:xf numFmtId="0" fontId="23" fillId="0" borderId="2" xfId="0" applyNumberFormat="1" applyFont="1" applyFill="1" applyBorder="1" applyAlignment="1"/>
    <x:xf numFmtId="0" fontId="24" fillId="0" borderId="0" xfId="55" applyFont="1" applyAlignment="1">
      <x:alignment horizontal="left" vertical="center"/>
    </x:xf>
    <x:xf numFmtId="0" fontId="24" fillId="0" borderId="0" xfId="55" applyNumberFormat="1" applyFont="1" applyAlignment="1">
      <x:alignment horizontal="left" vertical="center"/>
    </x:xf>
    <x:xf numFmtId="0" fontId="24" fillId="0" borderId="64" xfId="55" applyFont="1" applyBorder="1" applyAlignment="1">
      <x:alignment horizontal="left" vertical="center"/>
    </x:xf>
    <x:xf numFmtId="0" fontId="24" fillId="0" borderId="65" xfId="55" applyFont="1" applyBorder="1" applyAlignment="1">
      <x:alignment horizontal="left" vertical="center"/>
    </x:xf>
    <x:xf numFmtId="0" fontId="24" fillId="0" borderId="1" xfId="55" applyFont="1" applyBorder="1" applyAlignment="1">
      <x:alignment vertical="center" wrapText="1"/>
    </x:xf>
    <x:xf numFmtId="0" fontId="24" fillId="0" borderId="1" xfId="55" applyFont="1" applyBorder="1" applyAlignment="1">
      <x:alignment horizontal="center" vertical="center" wrapText="1"/>
    </x:xf>
    <x:xf numFmtId="0" fontId="23" fillId="0" borderId="1" xfId="0" applyFont="1" applyFill="1" applyBorder="1" applyAlignment="1"/>
    <x:xf numFmtId="0" fontId="24" fillId="0" borderId="1" xfId="55" applyNumberFormat="1" applyFont="1" applyBorder="1" applyAlignment="1">
      <x:alignment horizontal="center" vertical="center" wrapText="1"/>
    </x:xf>
    <x:xf numFmtId="0" fontId="24" fillId="0" borderId="1" xfId="55" applyFont="1" applyBorder="1" applyAlignment="1">
      <x:alignment horizontal="center" vertical="center"/>
    </x:xf>
    <x:xf numFmtId="0" fontId="24" fillId="0" borderId="1" xfId="55" applyNumberFormat="1" applyFont="1" applyBorder="1" applyAlignment="1">
      <x:alignment horizontal="center" vertical="center"/>
    </x:xf>
    <x:xf numFmtId="0" fontId="23" fillId="0" borderId="0" xfId="55" applyFont="1" applyAlignment="1">
      <x:alignment horizontal="center" vertical="center" wrapText="1"/>
    </x:xf>
    <x:xf numFmtId="0" fontId="23" fillId="0" borderId="0" xfId="0" applyFont="1" applyFill="1" applyAlignment="1">
      <x:alignment vertical="center"/>
    </x:xf>
    <x:xf numFmtId="0" fontId="24" fillId="0" borderId="1" xfId="55" applyFont="1" applyBorder="1" applyAlignment="1">
      <x:alignment horizontal="left" vertical="center" wrapText="1"/>
    </x:xf>
    <x:xf numFmtId="1" fontId="24" fillId="0" borderId="1" xfId="55" applyNumberFormat="1" applyFont="1" applyBorder="1" applyAlignment="1">
      <x:alignment horizontal="center" vertical="center"/>
    </x:xf>
    <x:xf numFmtId="0" fontId="24" fillId="0" borderId="25" xfId="55" applyFont="1" applyBorder="1" applyAlignment="1">
      <x:alignment horizontal="center" vertical="center"/>
    </x:xf>
    <x:xf numFmtId="0" fontId="24" fillId="0" borderId="65" xfId="55" applyFont="1" applyBorder="1" applyAlignment="1">
      <x:alignment horizontal="center" vertical="center"/>
    </x:xf>
    <x:xf numFmtId="0" fontId="24" fillId="0" borderId="25" xfId="55" applyFont="1" applyBorder="1" applyAlignment="1">
      <x:alignment horizontal="left" vertical="center" wrapText="1"/>
    </x:xf>
    <x:xf numFmtId="0" fontId="24" fillId="0" borderId="65" xfId="55" applyFont="1" applyBorder="1" applyAlignment="1">
      <x:alignment horizontal="left" vertical="center" wrapText="1"/>
    </x:xf>
    <x:xf numFmtId="1" fontId="24" fillId="0" borderId="26" xfId="55" applyNumberFormat="1" applyFont="1" applyBorder="1" applyAlignment="1">
      <x:alignment horizontal="center" vertical="center"/>
    </x:xf>
    <x:xf numFmtId="0" fontId="23" fillId="0" borderId="14" xfId="0" applyFont="1" applyFill="1" applyBorder="1" applyAlignment="1">
      <x:alignment horizontal="center" vertical="center" wrapText="1"/>
    </x:xf>
    <x:xf numFmtId="0" fontId="24" fillId="0" borderId="65" xfId="55" applyNumberFormat="1" applyFont="1" applyBorder="1" applyAlignment="1">
      <x:alignment horizontal="center" vertical="center"/>
    </x:xf>
    <x:xf numFmtId="0" fontId="24" fillId="0" borderId="66" xfId="55" applyFont="1" applyBorder="1" applyAlignment="1">
      <x:alignment horizontal="center" vertical="center"/>
    </x:xf>
    <x:xf numFmtId="0" fontId="24" fillId="0" borderId="66" xfId="55" applyFont="1" applyBorder="1" applyAlignment="1">
      <x:alignment horizontal="left" vertical="center" wrapText="1"/>
    </x:xf>
    <x:xf numFmtId="0" fontId="24" fillId="0" borderId="63" xfId="55" applyFont="1" applyBorder="1" applyAlignment="1">
      <x:alignment horizontal="left" vertical="center" wrapText="1"/>
    </x:xf>
    <x:xf numFmtId="1" fontId="24" fillId="0" borderId="67" xfId="55" applyNumberFormat="1" applyFont="1" applyBorder="1" applyAlignment="1">
      <x:alignment horizontal="center" vertical="center"/>
    </x:xf>
    <x:xf numFmtId="0" fontId="23" fillId="0" borderId="67" xfId="0" applyFont="1" applyFill="1" applyBorder="1" applyAlignment="1"/>
    <x:xf numFmtId="0" fontId="24" fillId="0" borderId="63" xfId="55" applyNumberFormat="1" applyFont="1" applyBorder="1" applyAlignment="1">
      <x:alignment horizontal="center" vertical="center"/>
    </x:xf>
    <x:xf numFmtId="0" fontId="24" fillId="0" borderId="63" xfId="55" applyFont="1" applyBorder="1" applyAlignment="1">
      <x:alignment horizontal="center" vertical="center" wrapText="1"/>
    </x:xf>
    <x:xf numFmtId="1" fontId="24" fillId="0" borderId="68" xfId="55" applyNumberFormat="1" applyFont="1" applyBorder="1" applyAlignment="1">
      <x:alignment vertical="center"/>
    </x:xf>
    <x:xf numFmtId="1" fontId="24" fillId="0" borderId="67" xfId="55" applyNumberFormat="1" applyFont="1" applyBorder="1" applyAlignment="1">
      <x:alignment vertical="center"/>
    </x:xf>
    <x:xf numFmtId="0" fontId="28" fillId="0" borderId="30" xfId="55" applyFont="1" applyBorder="1" applyAlignment="1">
      <x:alignment horizontal="left" vertical="center" wrapText="1"/>
    </x:xf>
    <x:xf numFmtId="0" fontId="28" fillId="0" borderId="69" xfId="55" applyFont="1" applyBorder="1" applyAlignment="1">
      <x:alignment vertical="center" wrapText="1"/>
    </x:xf>
    <x:xf numFmtId="1" fontId="28" fillId="0" borderId="69" xfId="55" applyNumberFormat="1" applyFont="1" applyBorder="1" applyAlignment="1">
      <x:alignment vertical="center" wrapText="1"/>
    </x:xf>
    <x:xf numFmtId="0" fontId="28" fillId="0" borderId="0" xfId="55" applyFont="1" applyAlignment="1">
      <x:alignment vertical="center" wrapText="1"/>
    </x:xf>
    <x:xf numFmtId="0" fontId="28" fillId="0" borderId="70" xfId="55" applyNumberFormat="1" applyFont="1" applyBorder="1" applyAlignment="1">
      <x:alignment horizontal="center" vertical="center" wrapText="1"/>
    </x:xf>
    <x:xf numFmtId="0" fontId="23" fillId="0" borderId="70" xfId="0" applyFont="1" applyFill="1" applyBorder="1" applyAlignment="1"/>
    <x:xf numFmtId="0" fontId="28" fillId="0" borderId="71" xfId="55" applyFont="1" applyBorder="1" applyAlignment="1">
      <x:alignment horizontal="left" vertical="center" wrapText="1"/>
    </x:xf>
    <x:xf numFmtId="0" fontId="23" fillId="0" borderId="72" xfId="0" applyFont="1" applyFill="1" applyBorder="1" applyAlignment="1"/>
    <x:xf numFmtId="0" fontId="28" fillId="0" borderId="73" xfId="55" applyFont="1" applyBorder="1" applyAlignment="1">
      <x:alignment horizontal="left" vertical="center" wrapText="1"/>
    </x:xf>
    <x:xf numFmtId="0" fontId="23" fillId="0" borderId="72" xfId="0" applyNumberFormat="1" applyFont="1" applyFill="1" applyBorder="1" applyAlignment="1"/>
    <x:xf numFmtId="0" fontId="23" fillId="0" borderId="73" xfId="0" applyFont="1" applyFill="1" applyBorder="1" applyAlignment="1"/>
    <x:xf numFmtId="0" fontId="28" fillId="0" borderId="71" xfId="55" applyFont="1" applyBorder="1" applyAlignment="1">
      <x:alignment horizontal="justify" vertical="center" wrapText="1"/>
    </x:xf>
    <x:xf numFmtId="0" fontId="28" fillId="0" borderId="74" xfId="55" applyFont="1" applyBorder="1" applyAlignment="1">
      <x:alignment vertical="center" wrapText="1"/>
    </x:xf>
    <x:xf numFmtId="0" fontId="28" fillId="0" borderId="74" xfId="55" applyNumberFormat="1" applyFont="1" applyBorder="1" applyAlignment="1">
      <x:alignment vertical="center" wrapText="1"/>
    </x:xf>
    <x:xf numFmtId="0" fontId="28" fillId="0" borderId="75" xfId="55" applyFont="1" applyBorder="1" applyAlignment="1">
      <x:alignment vertical="center" wrapText="1"/>
    </x:xf>
    <x:xf numFmtId="0" fontId="28" fillId="0" borderId="73" xfId="55" applyFont="1" applyBorder="1" applyAlignment="1">
      <x:alignment horizontal="left" vertical="center"/>
    </x:xf>
    <x:xf numFmtId="0" fontId="28" fillId="0" borderId="31" xfId="55" applyFont="1" applyBorder="1" applyAlignment="1">
      <x:alignment horizontal="left" vertical="center" wrapText="1"/>
    </x:xf>
    <x:xf numFmtId="0" fontId="28" fillId="0" borderId="31" xfId="55" applyNumberFormat="1" applyFont="1" applyBorder="1" applyAlignment="1">
      <x:alignment horizontal="left" vertical="center" wrapText="1"/>
    </x:xf>
    <x:xf numFmtId="0" fontId="28" fillId="0" borderId="25" xfId="55" applyFont="1" applyBorder="1" applyAlignment="1">
      <x:alignment horizontal="left" vertical="center" wrapText="1"/>
    </x:xf>
    <x:xf numFmtId="0" fontId="28" fillId="0" borderId="26" xfId="55" applyFont="1" applyBorder="1" applyAlignment="1">
      <x:alignment horizontal="left" vertical="center" wrapText="1"/>
    </x:xf>
    <x:xf numFmtId="0" fontId="29" fillId="0" borderId="4" xfId="55" applyFont="1" applyBorder="1" applyAlignment="1">
      <x:alignment horizontal="center" vertical="center"/>
    </x:xf>
    <x:xf numFmtId="0" fontId="28" fillId="0" borderId="76" xfId="55" applyFont="1" applyBorder="1" applyAlignment="1">
      <x:alignment horizontal="center" vertical="center" wrapText="1"/>
    </x:xf>
    <x:xf numFmtId="0" fontId="23" fillId="0" borderId="69" xfId="0" applyFont="1" applyFill="1" applyBorder="1" applyAlignment="1"/>
    <x:xf numFmtId="0" fontId="23" fillId="0" borderId="69" xfId="0" applyNumberFormat="1" applyFont="1" applyFill="1" applyBorder="1" applyAlignment="1"/>
    <x:xf numFmtId="0" fontId="30" fillId="0" borderId="77" xfId="55" applyFont="1" applyBorder="1" applyAlignment="1">
      <x:alignment horizontal="center" vertical="center" wrapText="1"/>
    </x:xf>
    <x:xf numFmtId="0" fontId="30" fillId="0" borderId="78" xfId="55" applyFont="1" applyBorder="1" applyAlignment="1">
      <x:alignment horizontal="center" vertical="center" wrapText="1"/>
    </x:xf>
    <x:xf numFmtId="0" fontId="30" fillId="0" borderId="78" xfId="55" applyNumberFormat="1" applyFont="1" applyBorder="1" applyAlignment="1">
      <x:alignment horizontal="center" vertical="center" wrapText="1"/>
    </x:xf>
    <x:xf numFmtId="0" fontId="31" fillId="0" borderId="30" xfId="55" applyFont="1" applyBorder="1" applyAlignment="1">
      <x:alignment horizontal="center" vertical="center"/>
    </x:xf>
    <x:xf numFmtId="0" fontId="24" fillId="0" borderId="79" xfId="55" applyFont="1" applyBorder="1" applyAlignment="1">
      <x:alignment horizontal="center" vertical="center"/>
    </x:xf>
    <x:xf numFmtId="0" fontId="23" fillId="0" borderId="80" xfId="0" applyNumberFormat="1" applyFont="1" applyFill="1" applyBorder="1" applyAlignment="1"/>
    <x:xf numFmtId="0" fontId="23" fillId="0" borderId="79" xfId="0" applyFont="1" applyFill="1" applyBorder="1" applyAlignment="1"/>
    <x:xf numFmtId="0" fontId="24" fillId="0" borderId="25" xfId="55" applyFont="1" applyBorder="1" applyAlignment="1">
      <x:alignment vertical="center"/>
    </x:xf>
    <x:xf numFmtId="0" fontId="24" fillId="0" borderId="2" xfId="55" applyFont="1" applyBorder="1" applyAlignment="1">
      <x:alignment vertical="center"/>
    </x:xf>
    <x:xf numFmtId="0" fontId="24" fillId="0" borderId="2" xfId="55" applyNumberFormat="1" applyFont="1" applyBorder="1" applyAlignment="1">
      <x:alignment vertical="center"/>
    </x:xf>
    <x:xf numFmtId="0" fontId="24" fillId="0" borderId="26" xfId="55" applyFont="1" applyBorder="1" applyAlignment="1">
      <x:alignment vertical="center"/>
    </x:xf>
    <x:xf numFmtId="0" fontId="32" fillId="0" borderId="0" xfId="55" applyFont="1" applyAlignment="1">
      <x:alignment horizontal="center" vertical="center"/>
    </x:xf>
    <x:xf numFmtId="0" fontId="32" fillId="0" borderId="0" xfId="55" applyFont="1" applyFill="1" applyAlignment="1">
      <x:alignment horizontal="center" vertical="center" wrapText="1"/>
    </x:xf>
    <x:xf numFmtId="0" fontId="32" fillId="0" borderId="0" xfId="55" applyFont="1" applyAlignment="1">
      <x:alignment horizontal="center" vertical="center" wrapText="1"/>
    </x:xf>
    <x:xf numFmtId="184" fontId="32" fillId="0" borderId="0" xfId="55" applyNumberFormat="1" applyFont="1" applyAlignment="1">
      <x:alignment horizontal="center" vertical="center"/>
    </x:xf>
    <x:xf numFmtId="0" fontId="11" fillId="0" borderId="0" xfId="55" applyFont="1" applyAlignment="1">
      <x:alignment horizontal="center" vertical="center" wrapText="1"/>
    </x:xf>
    <x:xf numFmtId="0" fontId="32" fillId="2" borderId="0" xfId="55" applyFont="1" applyFill="1" applyAlignment="1">
      <x:alignment horizontal="center" vertical="center"/>
    </x:xf>
    <x:xf numFmtId="183" fontId="32" fillId="2" borderId="0" xfId="55" applyNumberFormat="1" applyFont="1" applyFill="1" applyAlignment="1">
      <x:alignment horizontal="center" vertical="center"/>
    </x:xf>
    <x:xf numFmtId="0" fontId="32" fillId="0" borderId="0" xfId="55" applyFont="1" applyFill="1" applyAlignment="1">
      <x:alignment horizontal="center" vertical="center"/>
    </x:xf>
    <x:xf numFmtId="0" fontId="33" fillId="0" borderId="0" xfId="55" applyFont="1" applyFill="1" applyAlignment="1">
      <x:alignment horizontal="center" vertical="center"/>
    </x:xf>
    <x:xf numFmtId="183" fontId="33" fillId="2" borderId="0" xfId="55" applyNumberFormat="1" applyFont="1" applyFill="1" applyAlignment="1">
      <x:alignment horizontal="center" vertical="center"/>
    </x:xf>
    <x:xf numFmtId="186" fontId="32" fillId="2" borderId="0" xfId="55" applyNumberFormat="1" applyFont="1" applyFill="1" applyAlignment="1">
      <x:alignment horizontal="center" vertical="center"/>
    </x:xf>
    <x:xf numFmtId="0" fontId="32" fillId="0" borderId="1" xfId="58" applyFont="1" applyBorder="1" applyAlignment="1">
      <x:alignment horizontal="center" vertical="center"/>
    </x:xf>
    <x:xf numFmtId="184" fontId="32" fillId="0" borderId="1" xfId="55" applyNumberFormat="1" applyFont="1" applyBorder="1" applyAlignment="1">
      <x:alignment horizontal="center" vertical="center"/>
    </x:xf>
    <x:xf numFmtId="0" fontId="32" fillId="0" borderId="1" xfId="55" applyFont="1" applyBorder="1" applyAlignment="1">
      <x:alignment horizontal="center" vertical="center"/>
    </x:xf>
    <x:xf numFmtId="0" fontId="11" fillId="0" borderId="1" xfId="58" applyFont="1" applyBorder="1" applyAlignment="1">
      <x:alignment horizontal="center" vertical="center" wrapText="1"/>
    </x:xf>
    <x:xf numFmtId="0" fontId="32" fillId="2" borderId="1" xfId="55" applyFont="1" applyFill="1" applyBorder="1" applyAlignment="1">
      <x:alignment horizontal="center" vertical="center"/>
    </x:xf>
    <x:xf numFmtId="0" fontId="32" fillId="2" borderId="1" xfId="55" applyFont="1" applyFill="1" applyBorder="1" applyAlignment="1">
      <x:alignment horizontal="center" vertical="center" wrapText="1"/>
    </x:xf>
    <x:xf numFmtId="183" fontId="32" fillId="2" borderId="1" xfId="55" applyNumberFormat="1" applyFont="1" applyFill="1" applyBorder="1" applyAlignment="1">
      <x:alignment horizontal="center" vertical="center"/>
    </x:xf>
    <x:xf numFmtId="0" fontId="32" fillId="0" borderId="1" xfId="55" applyFont="1" applyFill="1" applyBorder="1" applyAlignment="1">
      <x:alignment horizontal="center" vertical="center"/>
    </x:xf>
    <x:xf numFmtId="0" fontId="32" fillId="0" borderId="14" xfId="0" applyFont="1" applyFill="1" applyBorder="1" applyAlignment="1">
      <x:alignment horizontal="center" vertical="center"/>
    </x:xf>
    <x:xf numFmtId="0" fontId="32" fillId="0" borderId="1" xfId="0" applyFont="1" applyFill="1" applyBorder="1" applyAlignment="1">
      <x:alignment horizontal="center" vertical="center"/>
    </x:xf>
    <x:xf numFmtId="0" fontId="32" fillId="0" borderId="1" xfId="0" applyFont="1" applyFill="1" applyBorder="1" applyAlignment="1">
      <x:alignment horizontal="center" vertical="center" wrapText="1"/>
    </x:xf>
    <x:xf numFmtId="0" fontId="32" fillId="2" borderId="1" xfId="0" applyFont="1" applyFill="1" applyBorder="1" applyAlignment="1">
      <x:alignment horizontal="center" vertical="center"/>
    </x:xf>
    <x:xf numFmtId="0" fontId="32" fillId="0" borderId="1" xfId="55" applyFont="1" applyFill="1" applyBorder="1" applyAlignment="1">
      <x:alignment horizontal="center" vertical="center" wrapText="1"/>
    </x:xf>
    <x:xf numFmtId="184" fontId="34" fillId="0" borderId="1" xfId="0" applyNumberFormat="1" applyFont="1" applyFill="1" applyBorder="1" applyAlignment="1">
      <x:alignment horizontal="center" vertical="center"/>
    </x:xf>
    <x:xf numFmtId="0" fontId="35" fillId="0" borderId="1" xfId="0" applyFont="1" applyFill="1" applyBorder="1" applyAlignment="1">
      <x:alignment horizontal="center" vertical="center" wrapText="1"/>
    </x:xf>
    <x:xf numFmtId="4" fontId="35" fillId="0" borderId="1" xfId="59" applyNumberFormat="1" applyFont="1" applyFill="1" applyBorder="1" applyAlignment="1">
      <x:alignment horizontal="center" vertical="center"/>
    </x:xf>
    <x:xf numFmtId="0" fontId="35" fillId="0" borderId="1" xfId="0" applyFont="1" applyFill="1" applyBorder="1" applyAlignment="1">
      <x:alignment horizontal="center" vertical="center"/>
    </x:xf>
    <x:xf numFmtId="187" fontId="35" fillId="0" borderId="1" xfId="0" applyNumberFormat="1" applyFont="1" applyFill="1" applyBorder="1" applyAlignment="1">
      <x:alignment horizontal="center" vertical="center" wrapText="1"/>
    </x:xf>
    <x:xf numFmtId="187" fontId="32" fillId="0" borderId="1" xfId="0" applyNumberFormat="1" applyFont="1" applyFill="1" applyBorder="1" applyAlignment="1">
      <x:alignment horizontal="center" vertical="center"/>
    </x:xf>
    <x:xf numFmtId="183" fontId="35" fillId="0" borderId="1" xfId="0" applyNumberFormat="1" applyFont="1" applyFill="1" applyBorder="1" applyAlignment="1">
      <x:alignment horizontal="center" vertical="center" wrapText="1"/>
    </x:xf>
    <x:xf numFmtId="183" fontId="35" fillId="0" borderId="40" xfId="0" applyNumberFormat="1" applyFont="1" applyFill="1" applyBorder="1" applyAlignment="1">
      <x:alignment horizontal="center" vertical="center" wrapText="1"/>
    </x:xf>
    <x:xf numFmtId="0" fontId="36" fillId="0" borderId="1" xfId="0" applyFont="1" applyFill="1" applyBorder="1" applyAlignment="1">
      <x:alignment horizontal="center" vertical="center"/>
    </x:xf>
    <x:xf numFmtId="183" fontId="33" fillId="0" borderId="0" xfId="0" applyNumberFormat="1" applyFont="1" applyFill="1" applyAlignment="1">
      <x:alignment horizontal="center" vertical="center"/>
    </x:xf>
    <x:xf numFmtId="1" fontId="32" fillId="0" borderId="0" xfId="55" applyNumberFormat="1" applyFont="1" applyFill="1" applyAlignment="1">
      <x:alignment horizontal="center" vertical="center"/>
    </x:xf>
    <x:xf numFmtId="0" fontId="32" fillId="0" borderId="0" xfId="0" applyFont="1" applyFill="1" applyAlignment="1">
      <x:alignment horizontal="center" vertical="center"/>
    </x:xf>
    <x:xf numFmtId="0" fontId="35" fillId="2" borderId="1" xfId="55" applyFont="1" applyFill="1" applyBorder="1" applyAlignment="1">
      <x:alignment horizontal="center" vertical="center" wrapText="1"/>
    </x:xf>
    <x:xf numFmtId="184" fontId="37" fillId="2" borderId="1" xfId="0" applyNumberFormat="1" applyFont="1" applyFill="1" applyBorder="1" applyAlignment="1">
      <x:alignment horizontal="center" vertical="center"/>
    </x:xf>
    <x:xf numFmtId="0" fontId="38" fillId="2" borderId="1" xfId="0" applyFont="1" applyFill="1" applyBorder="1" applyAlignment="1">
      <x:alignment horizontal="center" vertical="center" wrapText="1"/>
    </x:xf>
    <x:xf numFmtId="183" fontId="33" fillId="2" borderId="1" xfId="0" applyNumberFormat="1" applyFont="1" applyFill="1" applyBorder="1" applyAlignment="1">
      <x:alignment horizontal="center" vertical="center"/>
    </x:xf>
    <x:xf numFmtId="0" fontId="35" fillId="2" borderId="1" xfId="0" applyFont="1" applyFill="1" applyBorder="1" applyAlignment="1">
      <x:alignment horizontal="center" vertical="center"/>
    </x:xf>
    <x:xf numFmtId="188" fontId="32" fillId="2" borderId="1" xfId="60" applyNumberFormat="1" applyFont="1" applyFill="1" applyBorder="1" applyAlignment="1">
      <x:alignment horizontal="center" vertical="center"/>
    </x:xf>
    <x:xf numFmtId="0" fontId="33" fillId="2" borderId="1" xfId="55" applyFont="1" applyFill="1" applyBorder="1" applyAlignment="1">
      <x:alignment horizontal="center" vertical="center" wrapText="1"/>
    </x:xf>
    <x:xf numFmtId="184" fontId="39" fillId="2" borderId="1" xfId="0" applyNumberFormat="1" applyFont="1" applyFill="1" applyBorder="1" applyAlignment="1">
      <x:alignment horizontal="center" vertical="center"/>
    </x:xf>
    <x:xf numFmtId="0" fontId="39" fillId="2" borderId="1" xfId="0" applyFont="1" applyFill="1" applyBorder="1" applyAlignment="1">
      <x:alignment horizontal="center" vertical="center"/>
    </x:xf>
    <x:xf numFmtId="0" fontId="40" fillId="2" borderId="1" xfId="0" applyFont="1" applyFill="1" applyBorder="1" applyAlignment="1">
      <x:alignment horizontal="center" vertical="center" wrapText="1"/>
    </x:xf>
    <x:xf numFmtId="188" fontId="33" fillId="2" borderId="1" xfId="60" applyNumberFormat="1" applyFont="1" applyFill="1" applyBorder="1" applyAlignment="1">
      <x:alignment horizontal="center" vertical="center"/>
    </x:xf>
    <x:xf numFmtId="183" fontId="33" fillId="0" borderId="1" xfId="0" applyNumberFormat="1" applyFont="1" applyFill="1" applyBorder="1" applyAlignment="1">
      <x:alignment horizontal="center" vertical="center"/>
    </x:xf>
    <x:xf numFmtId="183" fontId="33" fillId="2" borderId="0" xfId="0" applyNumberFormat="1" applyFont="1" applyFill="1" applyAlignment="1">
      <x:alignment horizontal="center" vertical="center"/>
    </x:xf>
    <x:xf numFmtId="1" fontId="32" fillId="0" borderId="0" xfId="55" applyNumberFormat="1" applyFont="1" applyAlignment="1">
      <x:alignment horizontal="center" vertical="center"/>
    </x:xf>
    <x:xf numFmtId="0" fontId="41" fillId="2" borderId="81" xfId="55" applyFont="1" applyFill="1" applyBorder="1" applyAlignment="1">
      <x:alignment horizontal="center" vertical="center"/>
    </x:xf>
    <x:xf numFmtId="0" fontId="32" fillId="2" borderId="81" xfId="0" applyFont="1" applyFill="1" applyBorder="1" applyAlignment="1">
      <x:alignment horizontal="center" vertical="center"/>
    </x:xf>
    <x:xf numFmtId="0" fontId="32" fillId="2" borderId="81" xfId="55" applyFont="1" applyFill="1" applyBorder="1" applyAlignment="1">
      <x:alignment horizontal="center" vertical="center"/>
    </x:xf>
    <x:xf numFmtId="0" fontId="42" fillId="0" borderId="0" xfId="0" applyFont="1" applyFill="1" applyAlignment="1">
      <x:alignment horizontal="center" vertical="center"/>
    </x:xf>
    <x:xf numFmtId="0" fontId="42" fillId="0" borderId="0" xfId="0" applyFont="1" applyFill="1" applyAlignment="1">
      <x:alignment horizontal="left" vertical="center"/>
    </x:xf>
    <x:xf numFmtId="0" fontId="43" fillId="0" borderId="0" xfId="0" applyFont="1" applyFill="1" applyBorder="1" applyAlignment="1">
      <x:alignment horizontal="center" vertical="center"/>
    </x:xf>
    <x:xf numFmtId="0" fontId="43" fillId="0" borderId="0" xfId="0" applyFont="1" applyFill="1" applyBorder="1" applyAlignment="1">
      <x:alignment horizontal="center" vertical="center" wrapText="1"/>
    </x:xf>
    <x:xf numFmtId="0" fontId="43" fillId="0" borderId="0" xfId="0" applyFont="1" applyFill="1" applyBorder="1" applyAlignment="1">
      <x:alignment horizontal="left" vertical="center" wrapText="1"/>
    </x:xf>
    <x:xf numFmtId="0" fontId="44" fillId="0" borderId="0" xfId="0" applyFont="1" applyFill="1" applyBorder="1" applyAlignment="1">
      <x:alignment horizontal="left" vertical="center" wrapText="1"/>
    </x:xf>
    <x:xf numFmtId="183" fontId="43" fillId="0" borderId="0" xfId="0" applyNumberFormat="1" applyFont="1" applyFill="1" applyBorder="1" applyAlignment="1">
      <x:alignment horizontal="left" vertical="center" wrapText="1"/>
    </x:xf>
    <x:xf numFmtId="0" fontId="43" fillId="0" borderId="0" xfId="55" applyFont="1" applyFill="1" applyBorder="1" applyAlignment="1">
      <x:alignment horizontal="left" vertical="center" wrapText="1"/>
    </x:xf>
    <x:xf numFmtId="0" fontId="43" fillId="0" borderId="0" xfId="55" applyFont="1" applyFill="1" applyBorder="1" applyAlignment="1">
      <x:alignment horizontal="center" vertical="center" wrapText="1"/>
    </x:xf>
    <x:xf numFmtId="0" fontId="39" fillId="0" borderId="0" xfId="0" applyFont="1" applyFill="1" applyBorder="1" applyAlignment="1">
      <x:alignment horizontal="left" vertical="center" wrapText="1"/>
    </x:xf>
    <x:xf numFmtId="0" fontId="42" fillId="0" borderId="0" xfId="0" applyFont="1" applyFill="1" applyBorder="1" applyAlignment="1">
      <x:alignment horizontal="center" vertical="center"/>
    </x:xf>
    <x:xf numFmtId="0" fontId="42" fillId="0" borderId="0" xfId="0" applyFont="1" applyFill="1" applyBorder="1" applyAlignment="1">
      <x:alignment horizontal="center" vertical="center" wrapText="1"/>
    </x:xf>
    <x:xf numFmtId="0" fontId="39" fillId="0" borderId="0" xfId="64" applyNumberFormat="1" applyFont="1" applyFill="1" applyBorder="1" applyAlignment="1">
      <x:alignment horizontal="left" vertical="center" wrapText="1"/>
    </x:xf>
    <x:xf numFmtId="0" fontId="43" fillId="0" borderId="0" xfId="64" applyNumberFormat="1" applyFont="1" applyFill="1" applyBorder="1" applyAlignment="1">
      <x:alignment horizontal="left" vertical="center" wrapText="1"/>
    </x:xf>
    <x:xf numFmtId="0" fontId="39" fillId="0" borderId="0" xfId="0" applyFont="1" applyFill="1" applyBorder="1" applyAlignment="1">
      <x:alignment horizontal="center" vertical="center"/>
    </x:xf>
    <x:xf numFmtId="0" fontId="39" fillId="0" borderId="0" xfId="0" applyFont="1" applyFill="1" applyBorder="1" applyAlignment="1">
      <x:alignment horizontal="center" vertical="center" wrapText="1"/>
    </x:xf>
    <x:xf numFmtId="0" fontId="43" fillId="0" borderId="0" xfId="0" applyNumberFormat="1" applyFont="1" applyFill="1" applyBorder="1" applyAlignment="1">
      <x:alignment horizontal="center" vertical="center"/>
    </x:xf>
    <x:xf numFmtId="0" fontId="43" fillId="0" borderId="0" xfId="0" applyFont="1" applyFill="1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45" fillId="3" borderId="82" xfId="0" applyNumberFormat="1" applyFont="1" applyFill="1" applyBorder="1" applyAlignment="1">
      <x:alignment horizontal="center"/>
    </x:xf>
    <x:xf numFmtId="0" fontId="45" fillId="3" borderId="4" xfId="0" applyNumberFormat="1" applyFont="1" applyFill="1" applyBorder="1" applyAlignment="1">
      <x:alignment horizontal="center"/>
    </x:xf>
    <x:xf numFmtId="0" fontId="45" fillId="3" borderId="9" xfId="0" applyNumberFormat="1" applyFont="1" applyFill="1" applyBorder="1" applyAlignment="1">
      <x:alignment horizontal="center"/>
    </x:xf>
    <x:xf numFmtId="0" fontId="35" fillId="3" borderId="30" xfId="0" applyFont="1" applyFill="1" applyBorder="1" applyAlignment="1">
      <x:alignment horizontal="center" wrapText="1"/>
    </x:xf>
    <x:xf numFmtId="0" fontId="35" fillId="3" borderId="0" xfId="0" applyFont="1" applyFill="1" applyAlignment="1">
      <x:alignment horizontal="center" wrapText="1"/>
    </x:xf>
    <x:xf numFmtId="0" fontId="35" fillId="3" borderId="31" xfId="0" applyFont="1" applyFill="1" applyBorder="1" applyAlignment="1">
      <x:alignment horizontal="center" wrapText="1"/>
    </x:xf>
    <x:xf numFmtId="0" fontId="46" fillId="3" borderId="30" xfId="0" applyNumberFormat="1" applyFont="1" applyFill="1" applyBorder="1" applyAlignment="1">
      <x:alignment vertical="center"/>
    </x:xf>
    <x:xf numFmtId="0" fontId="46" fillId="3" borderId="0" xfId="0" applyNumberFormat="1" applyFont="1" applyFill="1" applyBorder="1" applyAlignment="1">
      <x:alignment vertical="center"/>
    </x:xf>
    <x:xf numFmtId="0" fontId="46" fillId="3" borderId="31" xfId="0" applyNumberFormat="1" applyFont="1" applyFill="1" applyBorder="1" applyAlignment="1">
      <x:alignment horizontal="center" vertical="center"/>
    </x:xf>
    <x:xf numFmtId="0" fontId="47" fillId="3" borderId="30" xfId="0" applyNumberFormat="1" applyFont="1" applyFill="1" applyBorder="1" applyAlignment="1">
      <x:alignment horizontal="center" vertical="center"/>
    </x:xf>
    <x:xf numFmtId="0" fontId="47" fillId="3" borderId="0" xfId="0" applyNumberFormat="1" applyFont="1" applyFill="1" applyAlignment="1">
      <x:alignment horizontal="center" vertical="center"/>
    </x:xf>
    <x:xf numFmtId="0" fontId="47" fillId="3" borderId="31" xfId="0" applyNumberFormat="1" applyFont="1" applyFill="1" applyBorder="1" applyAlignment="1">
      <x:alignment horizontal="center" vertical="center"/>
    </x:xf>
    <x:xf numFmtId="0" fontId="48" fillId="3" borderId="82" xfId="0" applyNumberFormat="1" applyFont="1" applyFill="1" applyBorder="1" applyAlignment="1">
      <x:alignment vertical="center"/>
    </x:xf>
    <x:xf numFmtId="0" fontId="48" fillId="3" borderId="4" xfId="0" applyNumberFormat="1" applyFont="1" applyFill="1" applyBorder="1" applyAlignment="1">
      <x:alignment vertical="center"/>
    </x:xf>
    <x:xf numFmtId="0" fontId="49" fillId="3" borderId="6" xfId="0" applyFont="1" applyFill="1" applyBorder="1" applyAlignment="1"/>
    <x:xf numFmtId="0" fontId="49" fillId="3" borderId="4" xfId="0" applyFont="1" applyFill="1" applyBorder="1" applyAlignment="1"/>
    <x:xf numFmtId="0" fontId="49" fillId="3" borderId="4" xfId="0" applyNumberFormat="1" applyFont="1" applyFill="1" applyBorder="1" applyAlignment="1"/>
    <x:xf numFmtId="183" fontId="49" fillId="3" borderId="9" xfId="0" applyNumberFormat="1" applyFont="1" applyFill="1" applyBorder="1" applyAlignment="1">
      <x:alignment horizontal="center" vertical="center"/>
    </x:xf>
    <x:xf numFmtId="0" fontId="48" fillId="0" borderId="30" xfId="0" applyNumberFormat="1" applyFont="1" applyFill="1" applyBorder="1" applyAlignment="1">
      <x:alignment horizontal="left" vertical="top" wrapText="1"/>
    </x:xf>
    <x:xf numFmtId="0" fontId="48" fillId="0" borderId="0" xfId="0" applyNumberFormat="1" applyFont="1" applyFill="1" applyAlignment="1">
      <x:alignment horizontal="left" vertical="top" wrapText="1"/>
    </x:xf>
    <x:xf numFmtId="0" fontId="48" fillId="0" borderId="13" xfId="0" applyNumberFormat="1" applyFont="1" applyFill="1" applyBorder="1" applyAlignment="1">
      <x:alignment horizontal="left"/>
    </x:xf>
    <x:xf numFmtId="0" fontId="48" fillId="0" borderId="11" xfId="0" applyNumberFormat="1" applyFont="1" applyFill="1" applyBorder="1" applyAlignment="1">
      <x:alignment horizontal="left"/>
    </x:xf>
    <x:xf numFmtId="0" fontId="49" fillId="0" borderId="47" xfId="0" applyNumberFormat="1" applyFont="1" applyFill="1" applyBorder="1" applyAlignment="1">
      <x:alignment horizontal="left"/>
    </x:xf>
    <x:xf numFmtId="0" fontId="49" fillId="0" borderId="41" xfId="0" applyNumberFormat="1" applyFont="1" applyFill="1" applyBorder="1" applyAlignment="1">
      <x:alignment horizontal="left"/>
    </x:xf>
    <x:xf numFmtId="183" fontId="49" fillId="0" borderId="83" xfId="0" applyNumberFormat="1" applyFont="1" applyFill="1" applyBorder="1" applyAlignment="1">
      <x:alignment horizontal="center" vertical="center"/>
    </x:xf>
    <x:xf numFmtId="0" fontId="49" fillId="3" borderId="23" xfId="0" applyFont="1" applyFill="1" applyBorder="1" applyAlignment="1">
      <x:alignment horizontal="left"/>
    </x:xf>
    <x:xf numFmtId="0" fontId="49" fillId="3" borderId="18" xfId="0" applyNumberFormat="1" applyFont="1" applyFill="1" applyBorder="1" applyAlignment="1">
      <x:alignment horizontal="left"/>
    </x:xf>
    <x:xf numFmtId="0" fontId="49" fillId="3" borderId="19" xfId="0" applyNumberFormat="1" applyFont="1" applyFill="1" applyBorder="1" applyAlignment="1"/>
    <x:xf numFmtId="0" fontId="49" fillId="3" borderId="18" xfId="0" applyNumberFormat="1" applyFont="1" applyFill="1" applyBorder="1" applyAlignment="1"/>
    <x:xf numFmtId="183" fontId="49" fillId="3" borderId="22" xfId="0" applyNumberFormat="1" applyFont="1" applyFill="1" applyBorder="1" applyAlignment="1">
      <x:alignment horizontal="center" vertical="center"/>
    </x:xf>
    <x:xf numFmtId="189" fontId="48" fillId="4" borderId="13" xfId="0" applyNumberFormat="1" applyFont="1" applyFill="1" applyBorder="1" applyAlignment="1">
      <x:alignment horizontal="left" vertical="top"/>
    </x:xf>
    <x:xf numFmtId="189" fontId="48" fillId="4" borderId="11" xfId="0" applyNumberFormat="1" applyFont="1" applyFill="1" applyBorder="1" applyAlignment="1">
      <x:alignment horizontal="left" vertical="top"/>
    </x:xf>
    <x:xf numFmtId="189" fontId="48" fillId="4" borderId="12" xfId="0" applyNumberFormat="1" applyFont="1" applyFill="1" applyBorder="1" applyAlignment="1">
      <x:alignment horizontal="left" vertical="top"/>
    </x:xf>
    <x:xf numFmtId="0" fontId="49" fillId="0" borderId="11" xfId="0" applyNumberFormat="1" applyFont="1" applyFill="1" applyBorder="1" applyAlignment="1">
      <x:alignment horizontal="left"/>
    </x:xf>
    <x:xf numFmtId="0" fontId="50" fillId="0" borderId="11" xfId="0" applyNumberFormat="1" applyFont="1" applyFill="1" applyBorder="1" applyAlignment="1">
      <x:alignment horizontal="left"/>
    </x:xf>
    <x:xf numFmtId="183" fontId="51" fillId="0" borderId="16" xfId="0" applyNumberFormat="1" applyFont="1" applyFill="1" applyBorder="1" applyAlignment="1">
      <x:alignment horizontal="center" vertical="center"/>
    </x:xf>
    <x:xf numFmtId="0" fontId="48" fillId="0" borderId="30" xfId="0" applyNumberFormat="1" applyFont="1" applyFill="1" applyBorder="1" applyAlignment="1">
      <x:alignment vertical="center"/>
    </x:xf>
    <x:xf numFmtId="0" fontId="48" fillId="0" borderId="0" xfId="0" applyNumberFormat="1" applyFont="1" applyFill="1" applyAlignment="1">
      <x:alignment vertical="center"/>
    </x:xf>
    <x:xf numFmtId="0" fontId="48" fillId="0" borderId="0" xfId="0" applyNumberFormat="1" applyFont="1" applyFill="1" applyBorder="1" applyAlignment="1"/>
    <x:xf numFmtId="0" fontId="49" fillId="3" borderId="23" xfId="0" applyNumberFormat="1" applyFont="1" applyFill="1" applyBorder="1" applyAlignment="1">
      <x:alignment horizontal="left"/>
    </x:xf>
    <x:xf numFmtId="0" fontId="49" fillId="3" borderId="18" xfId="0" applyNumberFormat="1" applyFont="1" applyFill="1" applyBorder="1" applyAlignment="1">
      <x:alignment horizontal="center"/>
    </x:xf>
    <x:xf numFmtId="0" fontId="49" fillId="3" borderId="23" xfId="0" applyNumberFormat="1" applyFont="1" applyFill="1" applyBorder="1" applyAlignment="1"/>
    <x:xf numFmtId="0" fontId="49" fillId="3" borderId="0" xfId="0" applyNumberFormat="1" applyFont="1" applyFill="1" applyBorder="1" applyAlignment="1"/>
    <x:xf numFmtId="183" fontId="49" fillId="3" borderId="31" xfId="0" applyNumberFormat="1" applyFont="1" applyFill="1" applyBorder="1" applyAlignment="1">
      <x:alignment horizontal="center" vertical="center"/>
    </x:xf>
    <x:xf numFmtId="0" fontId="48" fillId="0" borderId="14" xfId="0" applyNumberFormat="1" applyFont="1" applyFill="1" applyBorder="1" applyAlignment="1">
      <x:alignment horizontal="left" vertical="top"/>
    </x:xf>
    <x:xf numFmtId="0" fontId="49" fillId="0" borderId="0" xfId="0" applyNumberFormat="1" applyFont="1" applyFill="1" applyAlignment="1">
      <x:alignment horizontal="center"/>
    </x:xf>
    <x:xf numFmtId="183" fontId="49" fillId="0" borderId="31" xfId="0" applyNumberFormat="1" applyFont="1" applyFill="1" applyBorder="1" applyAlignment="1">
      <x:alignment horizontal="center" vertical="center"/>
    </x:xf>
    <x:xf numFmtId="0" fontId="48" fillId="0" borderId="84" xfId="0" applyNumberFormat="1" applyFont="1" applyFill="1" applyBorder="1" applyAlignment="1"/>
    <x:xf numFmtId="0" fontId="48" fillId="0" borderId="11" xfId="0" applyNumberFormat="1" applyFont="1" applyFill="1" applyBorder="1" applyAlignment="1"/>
    <x:xf numFmtId="0" fontId="48" fillId="0" borderId="1" xfId="0" applyNumberFormat="1" applyFont="1" applyFill="1" applyBorder="1" applyAlignment="1">
      <x:alignment horizontal="left" vertical="top"/>
    </x:xf>
    <x:xf numFmtId="0" fontId="48" fillId="3" borderId="30" xfId="0" applyNumberFormat="1" applyFont="1" applyFill="1" applyBorder="1" applyAlignment="1"/>
    <x:xf numFmtId="0" fontId="48" fillId="3" borderId="0" xfId="0" applyNumberFormat="1" applyFont="1" applyFill="1" applyAlignment="1"/>
    <x:xf numFmtId="0" fontId="48" fillId="3" borderId="0" xfId="0" applyNumberFormat="1" applyFont="1" applyFill="1" applyBorder="1" applyAlignment="1"/>
    <x:xf numFmtId="0" fontId="49" fillId="0" borderId="11" xfId="0" applyNumberFormat="1" applyFont="1" applyFill="1" applyBorder="1" applyAlignment="1">
      <x:alignment horizontal="center"/>
    </x:xf>
    <x:xf numFmtId="183" fontId="49" fillId="0" borderId="16" xfId="0" applyNumberFormat="1" applyFont="1" applyFill="1" applyBorder="1" applyAlignment="1">
      <x:alignment horizontal="center" vertical="center"/>
    </x:xf>
    <x:xf numFmtId="0" fontId="48" fillId="0" borderId="30" xfId="0" applyFont="1" applyBorder="1" applyAlignment="1"/>
    <x:xf numFmtId="0" fontId="48" fillId="0" borderId="0" xfId="0" applyFont="1" applyAlignment="1"/>
    <x:xf numFmtId="0" fontId="48" fillId="0" borderId="0" xfId="0" applyNumberFormat="1" applyFont="1" applyFill="1" applyBorder="1" applyAlignment="1"/>
    <x:xf numFmtId="0" fontId="48" fillId="0" borderId="45" xfId="0" applyNumberFormat="1" applyFont="1" applyFill="1" applyBorder="1" applyAlignment="1">
      <x:alignment horizontal="left" vertical="top"/>
    </x:xf>
    <x:xf numFmtId="0" fontId="48" fillId="0" borderId="0" xfId="0" applyNumberFormat="1" applyFont="1" applyFill="1" applyAlignment="1">
      <x:alignment horizontal="left" vertical="top"/>
    </x:xf>
    <x:xf numFmtId="0" fontId="48" fillId="0" borderId="46" xfId="0" applyNumberFormat="1" applyFont="1" applyFill="1" applyBorder="1" applyAlignment="1">
      <x:alignment horizontal="left" vertical="top"/>
    </x:xf>
    <x:xf numFmtId="183" fontId="48" fillId="0" borderId="31" xfId="0" applyNumberFormat="1" applyFont="1" applyFill="1" applyBorder="1" applyAlignment="1">
      <x:alignment horizontal="center" vertical="center"/>
    </x:xf>
    <x:xf numFmtId="0" fontId="48" fillId="0" borderId="30" xfId="0" applyFont="1" applyBorder="1" applyAlignment="1"/>
    <x:xf numFmtId="0" fontId="48" fillId="0" borderId="0" xfId="0" applyFont="1" applyAlignment="1"/>
    <x:xf numFmtId="0" fontId="48" fillId="0" borderId="0" xfId="0" applyNumberFormat="1" applyFont="1" applyFill="1" applyAlignment="1">
      <x:alignment wrapText="1"/>
    </x:xf>
    <x:xf numFmtId="0" fontId="48" fillId="0" borderId="30" xfId="0" applyFont="1" applyBorder="1">
      <x:alignment vertical="center"/>
    </x:xf>
    <x:xf numFmtId="0" fontId="48" fillId="0" borderId="13" xfId="0" applyNumberFormat="1" applyFont="1" applyFill="1" applyBorder="1" applyAlignment="1">
      <x:alignment horizontal="left" vertical="top"/>
    </x:xf>
    <x:xf numFmtId="0" fontId="48" fillId="0" borderId="11" xfId="0" applyNumberFormat="1" applyFont="1" applyFill="1" applyBorder="1" applyAlignment="1">
      <x:alignment horizontal="left" vertical="top"/>
    </x:xf>
    <x:xf numFmtId="0" fontId="48" fillId="0" borderId="12" xfId="0" applyNumberFormat="1" applyFont="1" applyFill="1" applyBorder="1" applyAlignment="1">
      <x:alignment horizontal="left" vertical="top"/>
    </x:xf>
    <x:xf numFmtId="183" fontId="48" fillId="0" borderId="16" xfId="0" applyNumberFormat="1" applyFont="1" applyFill="1" applyBorder="1" applyAlignment="1">
      <x:alignment horizontal="center" vertical="center"/>
    </x:xf>
    <x:xf numFmtId="0" fontId="52" fillId="0" borderId="30" xfId="0" applyFont="1" applyBorder="1">
      <x:alignment vertical="center"/>
    </x:xf>
    <x:xf numFmtId="0" fontId="51" fillId="3" borderId="18" xfId="0" applyNumberFormat="1" applyFont="1" applyFill="1" applyBorder="1" applyAlignment="1"/>
    <x:xf numFmtId="183" fontId="51" fillId="3" borderId="22" xfId="0" applyNumberFormat="1" applyFont="1" applyFill="1" applyBorder="1" applyAlignment="1">
      <x:alignment horizontal="center" vertical="center"/>
    </x:xf>
    <x:xf numFmtId="0" fontId="48" fillId="0" borderId="0" xfId="0" applyNumberFormat="1" applyFont="1" applyFill="1" applyBorder="1" applyAlignment="1">
      <x:alignment vertical="top"/>
    </x:xf>
    <x:xf numFmtId="11" fontId="53" fillId="0" borderId="45" xfId="0" applyNumberFormat="1" applyFont="1" applyFill="1" applyBorder="1" applyAlignment="1">
      <x:alignment horizontal="left"/>
    </x:xf>
    <x:xf numFmtId="0" fontId="53" fillId="0" borderId="0" xfId="0" applyNumberFormat="1" applyFont="1" applyFill="1" applyBorder="1" applyAlignment="1">
      <x:alignment horizontal="left"/>
    </x:xf>
    <x:xf numFmtId="183" fontId="53" fillId="0" borderId="31" xfId="0" applyNumberFormat="1" applyFont="1" applyFill="1" applyBorder="1" applyAlignment="1">
      <x:alignment horizontal="center" vertical="center"/>
    </x:xf>
    <x:xf numFmtId="0" fontId="54" fillId="3" borderId="3" xfId="0" applyNumberFormat="1" applyFont="1" applyFill="1" applyBorder="1" applyAlignment="1">
      <x:alignment horizontal="center" vertical="center" wrapText="1"/>
    </x:xf>
    <x:xf numFmtId="0" fontId="54" fillId="3" borderId="4" xfId="0" applyNumberFormat="1" applyFont="1" applyFill="1" applyBorder="1" applyAlignment="1">
      <x:alignment horizontal="center" vertical="center" wrapText="1"/>
    </x:xf>
    <x:xf numFmtId="0" fontId="54" fillId="3" borderId="7" xfId="0" applyNumberFormat="1" applyFont="1" applyFill="1" applyBorder="1" applyAlignment="1">
      <x:alignment horizontal="center" vertical="center" wrapText="1"/>
    </x:xf>
    <x:xf numFmtId="0" fontId="54" fillId="3" borderId="5" xfId="0" applyNumberFormat="1" applyFont="1" applyFill="1" applyBorder="1" applyAlignment="1">
      <x:alignment horizontal="center" vertical="center" wrapText="1"/>
    </x:xf>
    <x:xf numFmtId="183" fontId="54" fillId="3" borderId="7" xfId="0" applyNumberFormat="1" applyFont="1" applyFill="1" applyBorder="1" applyAlignment="1">
      <x:alignment horizontal="center" vertical="center" wrapText="1"/>
    </x:xf>
    <x:xf numFmtId="183" fontId="54" fillId="3" borderId="6" xfId="0" applyNumberFormat="1" applyFont="1" applyFill="1" applyBorder="1" applyAlignment="1">
      <x:alignment horizontal="center" vertical="center" wrapText="1"/>
    </x:xf>
    <x:xf numFmtId="183" fontId="54" fillId="3" borderId="8" xfId="0" applyNumberFormat="1" applyFont="1" applyFill="1" applyBorder="1" applyAlignment="1">
      <x:alignment horizontal="center" vertical="center" wrapText="1"/>
    </x:xf>
    <x:xf numFmtId="0" fontId="55" fillId="0" borderId="85" xfId="0" applyFont="1" applyBorder="1" applyAlignment="1">
      <x:alignment horizontal="center" vertical="center"/>
    </x:xf>
    <x:xf numFmtId="0" fontId="52" fillId="0" borderId="0" xfId="0" applyFont="1" applyAlignment="1">
      <x:alignment horizontal="center" vertical="center" wrapText="1"/>
    </x:xf>
    <x:xf numFmtId="0" fontId="55" fillId="0" borderId="86" xfId="0" applyFont="1" applyFill="1" applyBorder="1" applyAlignment="1">
      <x:alignment horizontal="center" vertical="center" wrapText="1"/>
    </x:xf>
    <x:xf numFmtId="0" fontId="46" fillId="0" borderId="86" xfId="0" applyNumberFormat="1" applyFont="1" applyFill="1" applyBorder="1" applyAlignment="1">
      <x:alignment horizontal="center" vertical="center"/>
    </x:xf>
    <x:xf numFmtId="183" fontId="46" fillId="0" borderId="86" xfId="0" applyNumberFormat="1" applyFont="1" applyFill="1" applyBorder="1" applyAlignment="1">
      <x:alignment horizontal="center" vertical="center"/>
    </x:xf>
    <x:xf numFmtId="183" fontId="46" fillId="0" borderId="45" xfId="0" applyNumberFormat="1" applyFont="1" applyFill="1" applyBorder="1" applyAlignment="1">
      <x:alignment horizontal="center" vertical="center"/>
    </x:xf>
    <x:xf numFmtId="183" fontId="46" fillId="0" borderId="87" xfId="0" applyNumberFormat="1" applyFont="1" applyFill="1" applyBorder="1" applyAlignment="1">
      <x:alignment horizontal="center" vertical="center"/>
    </x:xf>
    <x:xf numFmtId="0" fontId="46" fillId="0" borderId="0" xfId="0" applyNumberFormat="1" applyFont="1" applyFill="1" applyBorder="1" applyAlignment="1">
      <x:alignment horizontal="center" vertical="center" wrapText="1"/>
    </x:xf>
    <x:xf numFmtId="0" fontId="55" fillId="0" borderId="85" xfId="0" applyFont="1" applyBorder="1">
      <x:alignment vertical="center"/>
    </x:xf>
    <x:xf numFmtId="0" fontId="46" fillId="0" borderId="0" xfId="0" applyNumberFormat="1" applyFont="1" applyFill="1" applyBorder="1" applyAlignment="1">
      <x:alignment horizontal="center"/>
    </x:xf>
    <x:xf numFmtId="0" fontId="46" fillId="3" borderId="45" xfId="0" applyNumberFormat="1" applyFont="1" applyFill="1" applyBorder="1" applyAlignment="1">
      <x:alignment horizontal="center"/>
    </x:xf>
    <x:xf numFmtId="0" fontId="46" fillId="3" borderId="86" xfId="0" applyNumberFormat="1" applyFont="1" applyFill="1" applyBorder="1" applyAlignment="1">
      <x:alignment horizontal="center"/>
    </x:xf>
    <x:xf numFmtId="0" fontId="55" fillId="0" borderId="88" xfId="0" applyFont="1" applyBorder="1">
      <x:alignment vertical="center"/>
    </x:xf>
    <x:xf numFmtId="0" fontId="46" fillId="0" borderId="2" xfId="0" applyNumberFormat="1" applyFont="1" applyFill="1" applyBorder="1" applyAlignment="1">
      <x:alignment horizontal="center"/>
    </x:xf>
    <x:xf numFmtId="0" fontId="46" fillId="0" borderId="89" xfId="0" applyNumberFormat="1" applyFont="1" applyFill="1" applyBorder="1" applyAlignment="1">
      <x:alignment horizontal="center"/>
    </x:xf>
    <x:xf numFmtId="0" fontId="46" fillId="3" borderId="89" xfId="0" applyNumberFormat="1" applyFont="1" applyFill="1" applyBorder="1" applyAlignment="1">
      <x:alignment horizontal="left"/>
    </x:xf>
    <x:xf numFmtId="0" fontId="46" fillId="3" borderId="90" xfId="0" applyNumberFormat="1" applyFont="1" applyFill="1" applyBorder="1" applyAlignment="1">
      <x:alignment horizontal="center"/>
    </x:xf>
    <x:xf numFmtId="0" fontId="55" fillId="0" borderId="30" xfId="0" applyFont="1" applyBorder="1">
      <x:alignment vertical="center"/>
    </x:xf>
    <x:xf numFmtId="0" fontId="46" fillId="3" borderId="0" xfId="0" applyNumberFormat="1" applyFont="1" applyFill="1" applyBorder="1" applyAlignment="1">
      <x:alignment horizontal="left"/>
    </x:xf>
    <x:xf numFmtId="0" fontId="46" fillId="3" borderId="0" xfId="0" applyNumberFormat="1" applyFont="1" applyFill="1" applyBorder="1" applyAlignment="1">
      <x:alignment horizontal="center"/>
    </x:xf>
    <x:xf numFmtId="0" fontId="48" fillId="0" borderId="30" xfId="0" applyFont="1" applyBorder="1" applyAlignment="1">
      <x:alignment horizontal="left" wrapText="1"/>
    </x:xf>
    <x:xf numFmtId="0" fontId="48" fillId="0" borderId="0" xfId="0" applyFont="1" applyAlignment="1">
      <x:alignment horizontal="left" wrapText="1"/>
    </x:xf>
    <x:xf numFmtId="0" fontId="48" fillId="0" borderId="84" xfId="0" applyFont="1" applyBorder="1" applyAlignment="1">
      <x:alignment horizontal="left" wrapText="1"/>
    </x:xf>
    <x:xf numFmtId="0" fontId="48" fillId="0" borderId="11" xfId="0" applyFont="1" applyBorder="1" applyAlignment="1">
      <x:alignment horizontal="left" wrapText="1"/>
    </x:xf>
    <x:xf numFmtId="183" fontId="46" fillId="3" borderId="45" xfId="0" applyNumberFormat="1" applyFont="1" applyFill="1" applyBorder="1" applyAlignment="1">
      <x:alignment horizontal="center"/>
    </x:xf>
    <x:xf numFmtId="0" fontId="0" fillId="0" borderId="0" xfId="0" applyAlignment="1">
      <x:alignment vertical="center"/>
    </x:xf>
    <x:xf numFmtId="0" fontId="56" fillId="0" borderId="0" xfId="0" applyFont="1" applyAlignment="1">
      <x:alignment vertical="center" wrapText="1"/>
    </x:xf>
    <x:xf numFmtId="0" fontId="57" fillId="0" borderId="0" xfId="54" applyFont="1" applyAlignment="1">
      <x:alignment horizontal="center"/>
    </x:xf>
    <x:xf numFmtId="190" fontId="52" fillId="0" borderId="0" xfId="0" applyNumberFormat="1" applyFont="1" applyAlignment="1">
      <x:alignment vertical="top" wrapText="1"/>
    </x:xf>
    <x:xf numFmtId="0" fontId="48" fillId="0" borderId="0" xfId="54" applyFont="1" applyAlignment="1">
      <x:alignment horizontal="center" vertical="top" wrapText="1"/>
    </x:xf>
    <x:xf numFmtId="0" fontId="58" fillId="0" borderId="0" xfId="0" applyFont="1" applyAlignment="1">
      <x:alignment vertical="center" wrapText="1"/>
    </x:xf>
    <x:xf numFmtId="0" fontId="58" fillId="0" borderId="0" xfId="0" applyFont="1" applyAlignment="1">
      <x:alignment horizontal="center" vertical="center" wrapText="1"/>
    </x:xf>
    <x:xf numFmtId="0" fontId="59" fillId="0" borderId="0" xfId="0" applyFont="1" applyAlignment="1">
      <x:alignment vertical="center" wrapText="1"/>
    </x:xf>
    <x:xf numFmtId="0" fontId="60" fillId="0" borderId="0" xfId="0" applyFont="1" applyAlignment="1">
      <x:alignment horizontal="center" vertical="center" wrapText="1"/>
    </x:xf>
    <x:xf numFmtId="0" fontId="61" fillId="0" borderId="0" xfId="0" applyFont="1" applyAlignment="1">
      <x:alignment vertical="center" wrapText="1"/>
    </x:xf>
    <x:xf numFmtId="0" fontId="61" fillId="0" borderId="0" xfId="0" applyFont="1" applyAlignment="1">
      <x:alignment horizontal="center" vertical="center" wrapText="1"/>
    </x:xf>
    <x:xf numFmtId="0" fontId="52" fillId="0" borderId="0" xfId="0" applyFont="1" applyAlignment="1">
      <x:alignment vertical="top" wrapText="1"/>
    </x:xf>
    <x:xf numFmtId="0" fontId="52" fillId="0" borderId="0" xfId="0" applyFont="1" applyAlignment="1">
      <x:alignment horizontal="left" vertical="top" wrapText="1"/>
    </x:xf>
    <x:xf numFmtId="191" fontId="43" fillId="0" borderId="0" xfId="0" applyNumberFormat="1" applyFont="1" applyAlignment="1">
      <x:alignment horizontal="left" vertical="top" wrapText="1"/>
    </x:xf>
    <x:xf numFmtId="0" fontId="52" fillId="0" borderId="0" xfId="0" applyFont="1" applyAlignment="1">
      <x:alignment vertical="center" wrapText="1"/>
    </x:xf>
    <x:xf numFmtId="0" fontId="52" fillId="0" borderId="0" xfId="0" applyFont="1" applyAlignment="1">
      <x:alignment horizontal="left" vertical="center" wrapText="1"/>
    </x:xf>
    <x:xf numFmtId="192" fontId="48" fillId="0" borderId="0" xfId="0" applyNumberFormat="1" applyFont="1" applyAlignment="1">
      <x:alignment horizontal="center" vertical="center" wrapText="1"/>
    </x:xf>
    <x:xf numFmtId="0" fontId="52" fillId="0" borderId="0" xfId="0" applyFont="1" applyAlignment="1">
      <x:alignment horizontal="center" vertical="center"/>
    </x:xf>
    <x:xf numFmtId="0" fontId="52" fillId="0" borderId="0" xfId="0" applyFont="1" applyAlignment="1">
      <x:alignment wrapText="1"/>
    </x:xf>
    <x:xf numFmtId="0" fontId="52" fillId="0" borderId="0" xfId="0" applyFont="1" applyAlignment="1">
      <x:alignment horizontal="left" wrapText="1"/>
    </x:xf>
    <x:xf numFmtId="0" fontId="52" fillId="0" borderId="11" xfId="0" applyFont="1" applyBorder="1" applyAlignment="1">
      <x:alignment horizontal="center" vertical="center"/>
    </x:xf>
    <x:xf numFmtId="0" fontId="48" fillId="0" borderId="0" xfId="0" applyFont="1" applyAlignment="1">
      <x:alignment horizontal="center" vertical="center" wrapText="1"/>
    </x:xf>
    <x:xf numFmtId="189" fontId="62" fillId="0" borderId="0" xfId="0" applyNumberFormat="1" applyFont="1" applyAlignment="1">
      <x:alignment horizontal="center" vertical="center" wrapText="1"/>
    </x:xf>
    <x:xf numFmtId="189" fontId="62" fillId="0" borderId="11" xfId="0" applyNumberFormat="1" applyFont="1" applyBorder="1" applyAlignment="1">
      <x:alignment horizontal="center" vertical="center" wrapText="1"/>
    </x:xf>
    <x:xf numFmtId="0" fontId="52" fillId="0" borderId="0" xfId="0" applyFont="1" applyFill="1" applyAlignment="1">
      <x:alignment horizontal="left" vertical="top" wrapText="1"/>
    </x:xf>
    <x:xf numFmtId="0" fontId="52" fillId="0" borderId="0" xfId="0" applyFont="1" applyFill="1" applyAlignment="1">
      <x:alignment vertical="top" wrapText="1"/>
    </x:xf>
    <x:xf numFmtId="0" fontId="63" fillId="0" borderId="0" xfId="0" applyFont="1" applyAlignment="1">
      <x:alignment horizontal="center" vertical="center"/>
    </x:xf>
    <x:xf numFmtId="0" fontId="52" fillId="0" borderId="0" xfId="0" applyFont="1" applyFill="1" applyAlignment="1">
      <x:alignment horizontal="left" vertical="center" wrapText="1"/>
    </x:xf>
    <x:xf numFmtId="0" fontId="0" fillId="0" borderId="11" xfId="0" applyBorder="1">
      <x:alignment vertical="center"/>
    </x:xf>
    <x:xf numFmtId="0" fontId="52" fillId="0" borderId="0" xfId="0" applyFont="1">
      <x:alignment vertical="center"/>
    </x:xf>
    <x:xf numFmtId="0" fontId="52" fillId="0" borderId="0" xfId="0" applyFont="1" applyFill="1" applyBorder="1" applyAlignment="1">
      <x:alignment vertical="center"/>
    </x:xf>
    <x:xf numFmtId="0" fontId="52" fillId="0" borderId="0" xfId="0" applyFont="1" applyFill="1" applyAlignment="1">
      <x:alignment vertical="center"/>
    </x:xf>
    <x:xf numFmtId="0" fontId="62" fillId="0" borderId="0" xfId="0" applyFont="1" applyFill="1" applyBorder="1" applyAlignment="1">
      <x:alignment horizontal="left" vertical="top" wrapText="1"/>
    </x:xf>
    <x:xf numFmtId="184" fontId="62" fillId="0" borderId="0" xfId="0" applyNumberFormat="1" applyFont="1" applyFill="1" applyBorder="1" applyAlignment="1">
      <x:alignment horizontal="left" vertical="top" wrapText="1"/>
    </x:xf>
    <x:xf numFmtId="184" fontId="62" fillId="0" borderId="0" xfId="0" applyNumberFormat="1" applyFont="1" applyFill="1" applyAlignment="1">
      <x:alignment horizontal="left" vertical="top" wrapText="1"/>
    </x:xf>
    <x:xf numFmtId="0" fontId="52" fillId="0" borderId="0" xfId="0" applyFont="1" applyFill="1" applyBorder="1" applyAlignment="1">
      <x:alignment vertical="top" wrapText="1"/>
    </x:xf>
    <x:xf numFmtId="0" fontId="52" fillId="0" borderId="11" xfId="0" applyFont="1" applyBorder="1" applyAlignment="1">
      <x:alignment horizontal="center" vertical="center" wrapText="1"/>
    </x:xf>
    <x:xf numFmtId="0" fontId="43" fillId="0" borderId="0" xfId="0" applyFont="1" applyAlignment="1">
      <x:alignment horizontal="center" wrapText="1"/>
    </x:xf>
    <x:xf numFmtId="0" fontId="43" fillId="0" borderId="0" xfId="0" applyFont="1" applyAlignment="1">
      <x:alignment horizontal="left" wrapText="1"/>
    </x:xf>
    <x:xf numFmtId="0" fontId="55" fillId="0" borderId="0" xfId="0" applyFont="1">
      <x:alignment vertical="center"/>
    </x:xf>
    <x:xf numFmtId="0" fontId="55" fillId="0" borderId="0" xfId="0" applyFont="1" applyAlignment="1">
      <x:alignment vertical="center"/>
    </x:xf>
    <x:xf numFmtId="0" fontId="64" fillId="0" borderId="0" xfId="0" applyFont="1" applyAlignment="1">
      <x:alignment horizontal="left" vertical="top" wrapText="1"/>
    </x:xf>
    <x:xf numFmtId="0" fontId="64" fillId="0" borderId="0" xfId="0" applyFont="1" applyAlignment="1">
      <x:alignment vertical="top" wrapText="1"/>
    </x:xf>
    <x:xf numFmtId="184" fontId="64" fillId="0" borderId="0" xfId="0" applyNumberFormat="1" applyFont="1" applyAlignment="1">
      <x:alignment horizontal="left" vertical="top" wrapText="1"/>
    </x:xf>
    <x:xf numFmtId="0" fontId="35" fillId="0" borderId="1" xfId="0" applyFont="1" applyBorder="1" applyAlignment="1">
      <x:alignment horizontal="center" wrapText="1"/>
    </x:xf>
    <x:xf numFmtId="0" fontId="43" fillId="0" borderId="47" xfId="0" applyFont="1" applyBorder="1" applyAlignment="1">
      <x:alignment horizontal="center" vertical="center" wrapText="1"/>
    </x:xf>
    <x:xf numFmtId="0" fontId="43" fillId="0" borderId="41" xfId="0" applyFont="1" applyBorder="1" applyAlignment="1">
      <x:alignment horizontal="center" vertical="center" wrapText="1"/>
    </x:xf>
    <x:xf numFmtId="0" fontId="43" fillId="0" borderId="40" xfId="0" applyFont="1" applyBorder="1" applyAlignment="1">
      <x:alignment horizontal="center" vertical="center" wrapText="1"/>
    </x:xf>
    <x:xf numFmtId="184" fontId="35" fillId="0" borderId="1" xfId="0" applyNumberFormat="1" applyFont="1" applyBorder="1" applyAlignment="1">
      <x:alignment horizontal="center" wrapText="1"/>
    </x:xf>
    <x:xf numFmtId="184" fontId="35" fillId="0" borderId="47" xfId="0" applyNumberFormat="1" applyFont="1" applyBorder="1" applyAlignment="1">
      <x:alignment horizontal="center" wrapText="1"/>
    </x:xf>
    <x:xf numFmtId="0" fontId="35" fillId="0" borderId="47" xfId="0" applyFont="1" applyBorder="1" applyAlignment="1">
      <x:alignment horizontal="center" vertical="center" wrapText="1"/>
    </x:xf>
    <x:xf numFmtId="0" fontId="35" fillId="0" borderId="40" xfId="0" applyFont="1" applyBorder="1" applyAlignment="1">
      <x:alignment horizontal="center" vertical="center" wrapText="1"/>
    </x:xf>
    <x:xf numFmtId="0" fontId="35" fillId="0" borderId="1" xfId="0" applyFont="1" applyBorder="1" applyAlignment="1">
      <x:alignment horizontal="center" vertical="center" wrapText="1"/>
    </x:xf>
    <x:xf numFmtId="184" fontId="35" fillId="0" borderId="1" xfId="0" applyNumberFormat="1" applyFont="1" applyFill="1" applyBorder="1" applyAlignment="1">
      <x:alignment horizontal="center" wrapText="1"/>
    </x:xf>
    <x:xf numFmtId="0" fontId="35" fillId="0" borderId="1" xfId="0" applyFont="1" applyFill="1" applyBorder="1" applyAlignment="1">
      <x:alignment horizontal="center" wrapText="1"/>
    </x:xf>
    <x:xf numFmtId="0" fontId="65" fillId="0" borderId="1" xfId="0" applyFont="1" applyBorder="1" applyAlignment="1">
      <x:alignment horizontal="left" vertical="top" wrapText="1"/>
    </x:xf>
    <x:xf numFmtId="0" fontId="65" fillId="0" borderId="1" xfId="0" applyFont="1" applyBorder="1" applyAlignment="1">
      <x:alignment vertical="top" wrapText="1"/>
    </x:xf>
    <x:xf numFmtId="0" fontId="65" fillId="0" borderId="47" xfId="0" applyFont="1" applyBorder="1" applyAlignment="1">
      <x:alignment horizontal="left" vertical="top" wrapText="1"/>
    </x:xf>
    <x:xf numFmtId="193" fontId="66" fillId="0" borderId="47" xfId="0" applyNumberFormat="1" applyFont="1" applyBorder="1" applyAlignment="1">
      <x:alignment horizontal="center" wrapText="1"/>
    </x:xf>
    <x:xf numFmtId="193" fontId="66" fillId="0" borderId="40" xfId="0" applyNumberFormat="1" applyFont="1" applyBorder="1" applyAlignment="1">
      <x:alignment horizontal="center" wrapText="1"/>
    </x:xf>
    <x:xf numFmtId="0" fontId="61" fillId="0" borderId="1" xfId="0" applyFont="1" applyFill="1" applyBorder="1" applyAlignment="1">
      <x:alignment horizontal="center" vertical="center" wrapText="1"/>
    </x:xf>
    <x:xf numFmtId="188" fontId="52" fillId="0" borderId="1" xfId="54" applyNumberFormat="1" applyFont="1" applyFill="1" applyBorder="1" applyAlignment="1">
      <x:alignment horizontal="center" vertical="center" wrapText="1"/>
    </x:xf>
    <x:xf numFmtId="194" fontId="52" fillId="0" borderId="1" xfId="54" applyNumberFormat="1" applyFont="1" applyFill="1" applyBorder="1" applyAlignment="1">
      <x:alignment horizontal="center" vertical="center" wrapText="1"/>
    </x:xf>
    <x:xf numFmtId="0" fontId="52" fillId="0" borderId="1" xfId="54" applyNumberFormat="1" applyFont="1" applyFill="1" applyBorder="1" applyAlignment="1">
      <x:alignment horizontal="center" vertical="center" wrapText="1"/>
    </x:xf>
    <x:xf numFmtId="195" fontId="52" fillId="0" borderId="1" xfId="54" applyNumberFormat="1" applyFont="1" applyFill="1" applyBorder="1" applyAlignment="1">
      <x:alignment horizontal="center" vertical="center" wrapText="1"/>
    </x:xf>
    <x:xf numFmtId="195" fontId="61" fillId="0" borderId="1" xfId="0" applyNumberFormat="1" applyFont="1" applyFill="1" applyBorder="1" applyAlignment="1">
      <x:alignment horizontal="center" vertical="center" wrapText="1"/>
    </x:xf>
    <x:xf numFmtId="0" fontId="61" fillId="0" borderId="1" xfId="0" applyFont="1" applyBorder="1" applyAlignment="1">
      <x:alignment horizontal="left" vertical="top" wrapText="1"/>
    </x:xf>
    <x:xf numFmtId="0" fontId="61" fillId="0" borderId="1" xfId="0" applyFont="1" applyBorder="1" applyAlignment="1">
      <x:alignment vertical="top" wrapText="1"/>
    </x:xf>
    <x:xf numFmtId="0" fontId="61" fillId="0" borderId="1" xfId="0" applyFont="1" applyBorder="1" applyAlignment="1">
      <x:alignment horizontal="center" vertical="center" wrapText="1"/>
    </x:xf>
    <x:xf numFmtId="0" fontId="61" fillId="0" borderId="47" xfId="0" applyFont="1" applyBorder="1" applyAlignment="1">
      <x:alignment horizontal="center" vertical="center" wrapText="1"/>
    </x:xf>
    <x:xf numFmtId="187" fontId="52" fillId="0" borderId="47" xfId="0" applyNumberFormat="1" applyFont="1" applyBorder="1" applyAlignment="1">
      <x:alignment horizontal="center" vertical="center" wrapText="1"/>
    </x:xf>
    <x:xf numFmtId="187" fontId="52" fillId="0" borderId="40" xfId="0" applyNumberFormat="1" applyFont="1" applyBorder="1" applyAlignment="1">
      <x:alignment horizontal="center" vertical="center" wrapText="1"/>
    </x:xf>
    <x:xf numFmtId="0" fontId="52" fillId="0" borderId="1" xfId="0" applyFont="1" applyBorder="1" applyAlignment="1">
      <x:alignment horizontal="center" vertical="center" wrapText="1"/>
    </x:xf>
    <x:xf numFmtId="196" fontId="62" fillId="0" borderId="47" xfId="0" applyNumberFormat="1" applyFont="1" applyBorder="1" applyAlignment="1">
      <x:alignment horizontal="center" vertical="center" wrapText="1"/>
    </x:xf>
    <x:xf numFmtId="196" fontId="62" fillId="0" borderId="41" xfId="0" applyNumberFormat="1" applyFont="1" applyBorder="1" applyAlignment="1">
      <x:alignment horizontal="center" vertical="center" wrapText="1"/>
    </x:xf>
    <x:xf numFmtId="196" fontId="62" fillId="0" borderId="40" xfId="0" applyNumberFormat="1" applyFont="1" applyBorder="1" applyAlignment="1">
      <x:alignment horizontal="center" vertical="center" wrapText="1"/>
    </x:xf>
    <x:xf numFmtId="196" fontId="62" fillId="0" borderId="1" xfId="0" applyNumberFormat="1" applyFont="1" applyBorder="1" applyAlignment="1">
      <x:alignment horizontal="left" vertical="center" wrapText="1"/>
    </x:xf>
    <x:xf numFmtId="0" fontId="67" fillId="0" borderId="0" xfId="54" applyFont="1" applyAlignment="1">
      <x:alignment horizontal="center" vertical="center" wrapText="1"/>
    </x:xf>
    <x:xf numFmtId="0" fontId="35" fillId="0" borderId="0" xfId="54" applyFont="1" applyAlignment="1">
      <x:alignment horizontal="right"/>
    </x:xf>
    <x:xf numFmtId="0" fontId="35" fillId="0" borderId="0" xfId="54" applyFont="1" applyAlignment="1">
      <x:alignment horizontal="center"/>
    </x:xf>
    <x:xf numFmtId="0" fontId="35" fillId="0" borderId="0" xfId="0" applyFont="1">
      <x:alignment vertical="center"/>
    </x:xf>
    <x:xf numFmtId="197" fontId="35" fillId="0" borderId="0" xfId="54" applyNumberFormat="1" applyFont="1" applyAlignment="1">
      <x:alignment horizontal="center"/>
    </x:xf>
    <x:xf numFmtId="0" fontId="55" fillId="0" borderId="0" xfId="0" applyFont="1" applyAlignment="1">
      <x:alignment horizontal="center" vertical="center" wrapText="1"/>
    </x:xf>
    <x:xf numFmtId="0" fontId="68" fillId="0" borderId="0" xfId="0" applyFont="1">
      <x:alignment vertical="center"/>
    </x:xf>
    <x:xf numFmtId="0" fontId="35" fillId="0" borderId="0" xfId="54" applyFont="1" applyAlignment="1">
      <x:alignment horizontal="center" vertical="center" wrapText="1"/>
    </x:xf>
    <x:xf numFmtId="0" fontId="52" fillId="0" borderId="11" xfId="0" applyFont="1" applyBorder="1">
      <x:alignment vertical="center"/>
    </x:xf>
    <x:xf numFmtId="0" fontId="68" fillId="0" borderId="0" xfId="0" applyFont="1" applyAlignment="1">
      <x:alignment horizontal="center" vertical="center"/>
    </x:xf>
    <x:xf numFmtId="189" fontId="52" fillId="0" borderId="0" xfId="0" applyNumberFormat="1" applyFont="1" applyAlignment="1">
      <x:alignment horizontal="center" vertical="center"/>
    </x:xf>
    <x:xf numFmtId="189" fontId="52" fillId="0" borderId="11" xfId="0" applyNumberFormat="1" applyFont="1" applyBorder="1" applyAlignment="1">
      <x:alignment horizontal="center" vertical="center"/>
    </x:xf>
    <x:xf numFmtId="0" fontId="69" fillId="0" borderId="0" xfId="0" applyFont="1">
      <x:alignment vertical="center"/>
    </x:xf>
    <x:xf numFmtId="0" fontId="52" fillId="0" borderId="0" xfId="0" applyFont="1" applyBorder="1" applyAlignment="1"/>
    <x:xf numFmtId="0" fontId="46" fillId="0" borderId="0" xfId="54" applyFont="1" applyFill="1" applyBorder="1" applyAlignment="1">
      <x:alignment horizontal="right" wrapText="1"/>
    </x:xf>
    <x:xf numFmtId="0" fontId="35" fillId="0" borderId="0" xfId="0" applyFont="1" applyAlignment="1">
      <x:alignment horizontal="center" vertical="center"/>
    </x:xf>
    <x:xf numFmtId="0" fontId="52" fillId="0" borderId="0" xfId="54" applyFont="1" applyAlignment="1">
      <x:alignment horizontal="right" wrapText="1"/>
    </x:xf>
    <x:xf numFmtId="0" fontId="70" fillId="0" borderId="0" xfId="0" applyFont="1">
      <x:alignment vertical="center"/>
    </x:xf>
    <x:xf numFmtId="0" fontId="37" fillId="0" borderId="0" xfId="0" applyFont="1" applyAlignment="1">
      <x:alignment horizontal="left" vertical="center"/>
    </x:xf>
    <x:xf numFmtId="0" fontId="71" fillId="0" borderId="0" xfId="0" applyFont="1" applyAlignment="1">
      <x:alignment horizontal="left" vertical="center" wrapText="1"/>
    </x:xf>
    <x:xf numFmtId="0" fontId="71" fillId="0" borderId="0" xfId="0" applyFont="1">
      <x:alignment vertical="center"/>
    </x:xf>
    <x:xf numFmtId="0" fontId="35" fillId="0" borderId="0" xfId="54" applyFont="1"/>
    <x:xf numFmtId="188" fontId="35" fillId="0" borderId="0" xfId="54" applyNumberFormat="1" applyFont="1"/>
    <x:xf numFmtId="0" fontId="52" fillId="0" borderId="1" xfId="54" applyFont="1" applyBorder="1" applyAlignment="1">
      <x:alignment horizontal="center" wrapText="1"/>
    </x:xf>
    <x:xf numFmtId="188" fontId="52" fillId="0" borderId="1" xfId="54" applyNumberFormat="1" applyFont="1" applyBorder="1" applyAlignment="1">
      <x:alignment horizontal="center" wrapText="1"/>
    </x:xf>
    <x:xf numFmtId="198" fontId="52" fillId="0" borderId="1" xfId="54" applyNumberFormat="1" applyFont="1" applyBorder="1" applyAlignment="1">
      <x:alignment horizontal="center" wrapText="1"/>
    </x:xf>
    <x:xf numFmtId="198" fontId="52" fillId="0" borderId="1" xfId="54" applyNumberFormat="1" applyFont="1" applyBorder="1" applyAlignment="1">
      <x:alignment horizontal="center" vertical="center" wrapText="1"/>
    </x:xf>
    <x:xf numFmtId="0" fontId="52" fillId="0" borderId="1" xfId="54" applyFont="1" applyFill="1" applyBorder="1" applyAlignment="1">
      <x:alignment horizontal="center" vertical="center" wrapText="1"/>
    </x:xf>
    <x:xf numFmtId="0" fontId="52" fillId="0" borderId="1" xfId="54" applyFont="1" applyBorder="1" applyAlignment="1">
      <x:alignment horizontal="center"/>
    </x:xf>
    <x:xf numFmtId="0" fontId="52" fillId="0" borderId="1" xfId="54" applyFont="1" applyBorder="1"/>
    <x:xf numFmtId="0" fontId="52" fillId="0" borderId="1" xfId="0" applyFont="1" applyBorder="1">
      <x:alignment vertical="center"/>
    </x:xf>
    <x:xf numFmtId="199" fontId="52" fillId="0" borderId="1" xfId="54" applyNumberFormat="1" applyFont="1" applyBorder="1" applyAlignment="1">
      <x:alignment horizontal="center" vertical="center" wrapText="1"/>
    </x:xf>
    <x:xf numFmtId="200" fontId="35" fillId="0" borderId="0" xfId="54" applyNumberFormat="1" applyFont="1"/>
    <x:xf numFmtId="200" fontId="72" fillId="0" borderId="0" xfId="54" applyNumberFormat="1" applyFont="1" applyAlignment="1">
      <x:alignment horizontal="center" vertical="center"/>
    </x:xf>
    <x:xf numFmtId="0" fontId="48" fillId="0" borderId="0" xfId="54" applyFont="1" applyAlignment="1">
      <x:alignment vertical="center"/>
    </x:xf>
    <x:xf numFmtId="197" fontId="48" fillId="0" borderId="0" xfId="54" applyNumberFormat="1" applyFont="1" applyFill="1" applyAlignment="1">
      <x:alignment horizontal="left"/>
    </x:xf>
    <x:xf numFmtId="197" fontId="48" fillId="0" borderId="0" xfId="54" applyNumberFormat="1" applyFont="1" applyFill="1" applyBorder="1" applyAlignment="1"/>
    <x:xf numFmtId="197" fontId="48" fillId="0" borderId="0" xfId="54" applyNumberFormat="1" applyFont="1"/>
    <x:xf numFmtId="183" fontId="48" fillId="0" borderId="0" xfId="54" applyNumberFormat="1" applyFont="1"/>
    <x:xf numFmtId="0" fontId="48" fillId="0" borderId="0" xfId="54" applyFont="1" applyAlignment="1">
      <x:alignment vertical="center" wrapText="1"/>
    </x:xf>
    <x:xf numFmtId="0" fontId="48" fillId="0" borderId="0" xfId="54" applyFont="1" applyFill="1" applyAlignment="1">
      <x:alignment horizontal="left" vertical="center"/>
    </x:xf>
    <x:xf numFmtId="0" fontId="48" fillId="0" borderId="0" xfId="54" applyFont="1"/>
    <x:xf numFmtId="0" fontId="48" fillId="0" borderId="0" xfId="54" applyFont="1" applyAlignment="1">
      <x:alignment horizontal="left" vertical="center"/>
    </x:xf>
    <x:xf numFmtId="0" fontId="48" fillId="0" borderId="0" xfId="54" applyFont="1" applyAlignment="1">
      <x:alignment horizontal="left"/>
    </x:xf>
    <x:xf numFmtId="0" fontId="35" fillId="0" borderId="0" xfId="54" applyFont="1" applyAlignment="1">
      <x:alignment horizontal="left"/>
    </x:xf>
    <x:xf numFmtId="0" fontId="48" fillId="0" borderId="0" xfId="54" applyFont="1" applyFill="1" applyAlignment="1">
      <x:alignment horizontal="left"/>
    </x:xf>
    <x:xf numFmtId="0" fontId="48" fillId="0" borderId="0" xfId="54" applyFont="1" applyAlignment="1">
      <x:alignment horizontal="center" vertical="center" wrapText="1"/>
    </x:xf>
    <x:xf numFmtId="0" fontId="48" fillId="0" borderId="0" xfId="54" applyFont="1" applyAlignment="1">
      <x:alignment horizontal="center" vertical="center"/>
    </x:xf>
    <x:xf numFmtId="0" fontId="48" fillId="0" borderId="0" xfId="54" applyFont="1" applyAlignment="1">
      <x:alignment horizontal="left" vertical="center" wrapText="1"/>
    </x:xf>
    <x:xf numFmtId="0" fontId="35" fillId="0" borderId="0" xfId="54" applyFont="1" applyAlignment="1">
      <x:alignment vertical="center"/>
    </x:xf>
    <x:xf numFmtId="0" fontId="70" fillId="0" borderId="0" xfId="0" applyFont="1" applyAlignment="1">
      <x:alignment vertical="center" wrapText="1"/>
    </x:xf>
    <x:xf numFmtId="0" fontId="37" fillId="0" borderId="0" xfId="0" applyFont="1" applyAlignment="1">
      <x:alignment vertical="center" wrapText="1"/>
    </x:xf>
    <x:xf numFmtId="0" fontId="37" fillId="0" borderId="0" xfId="0" applyFont="1" applyAlignment="1">
      <x:alignment horizontal="left" vertical="center" wrapText="1"/>
    </x:xf>
    <x:xf numFmtId="0" fontId="66" fillId="0" borderId="0" xfId="0" applyFont="1" applyAlignment="1">
      <x:alignment horizontal="left" vertical="center" wrapText="1"/>
    </x:xf>
    <x:xf numFmtId="0" fontId="66" fillId="0" borderId="0" xfId="0" applyFont="1" applyAlignment="1">
      <x:alignment horizontal="left" vertical="center"/>
    </x:xf>
    <x:xf numFmtId="0" fontId="35" fillId="0" borderId="0" xfId="0" applyFont="1" applyAlignment="1">
      <x:alignment vertical="center" wrapText="1"/>
    </x:xf>
    <x:xf numFmtId="0" fontId="70" fillId="0" borderId="0" xfId="0" applyFont="1" applyAlignment="1">
      <x:alignment horizontal="left" vertical="center" wrapText="1"/>
    </x:xf>
    <x:xf numFmtId="0" fontId="73" fillId="0" borderId="0" xfId="0" applyFont="1">
      <x:alignment vertical="center"/>
    </x:xf>
    <x:xf numFmtId="0" fontId="35" fillId="0" borderId="0" xfId="0" applyFont="1" applyAlignment="1">
      <x:alignment horizontal="center" vertical="center" wrapText="1"/>
    </x:xf>
    <x:xf numFmtId="0" fontId="0" fillId="0" borderId="0" xfId="0" applyAlignment="1">
      <x:alignment horizontal="left" vertical="top"/>
    </x:xf>
    <x:xf numFmtId="0" fontId="74" fillId="0" borderId="0" xfId="0" applyFont="1">
      <x:alignment vertical="center"/>
    </x:xf>
    <x:xf numFmtId="0" fontId="56" fillId="0" borderId="0" xfId="0" applyFont="1" applyFill="1" applyAlignment="1">
      <x:alignment vertical="center" wrapText="1"/>
    </x:xf>
    <x:xf numFmtId="0" fontId="56" fillId="0" borderId="0" xfId="0" applyFont="1" applyFill="1" applyAlignment="1">
      <x:alignment horizontal="center" vertical="center" wrapText="1"/>
    </x:xf>
    <x:xf numFmtId="190" fontId="60" fillId="0" borderId="0" xfId="0" applyNumberFormat="1" applyFont="1" applyFill="1" applyAlignment="1">
      <x:alignment vertical="top" wrapText="1"/>
    </x:xf>
    <x:xf numFmtId="190" fontId="60" fillId="0" borderId="0" xfId="0" applyNumberFormat="1" applyFont="1" applyFill="1" applyAlignment="1">
      <x:alignment horizontal="center" vertical="top" wrapText="1"/>
    </x:xf>
    <x:xf numFmtId="190" fontId="52" fillId="0" borderId="0" xfId="0" applyNumberFormat="1" applyFont="1" applyFill="1" applyAlignment="1">
      <x:alignment vertical="top" wrapText="1"/>
    </x:xf>
    <x:xf numFmtId="190" fontId="52" fillId="0" borderId="0" xfId="0" applyNumberFormat="1" applyFont="1" applyFill="1" applyAlignment="1">
      <x:alignment horizontal="center" vertical="top" wrapText="1"/>
    </x:xf>
    <x:xf numFmtId="0" fontId="58" fillId="0" borderId="0" xfId="0" applyFont="1" applyFill="1" applyAlignment="1">
      <x:alignment vertical="center" wrapText="1"/>
    </x:xf>
    <x:xf numFmtId="0" fontId="58" fillId="0" borderId="0" xfId="0" applyFont="1" applyFill="1" applyAlignment="1">
      <x:alignment horizontal="center" vertical="center" wrapText="1"/>
    </x:xf>
    <x:xf numFmtId="0" fontId="59" fillId="0" borderId="0" xfId="0" applyFont="1" applyFill="1" applyAlignment="1">
      <x:alignment vertical="center" wrapText="1"/>
    </x:xf>
    <x:xf numFmtId="0" fontId="59" fillId="0" borderId="0" xfId="0" applyFont="1" applyFill="1" applyAlignment="1">
      <x:alignment horizontal="center" vertical="center" wrapText="1"/>
    </x:xf>
    <x:xf numFmtId="0" fontId="61" fillId="0" borderId="0" xfId="0" applyFont="1" applyFill="1" applyAlignment="1">
      <x:alignment vertical="center" wrapText="1"/>
    </x:xf>
    <x:xf numFmtId="0" fontId="61" fillId="0" borderId="0" xfId="0" applyFont="1" applyFill="1" applyAlignment="1">
      <x:alignment horizontal="center" vertical="center" wrapText="1"/>
    </x:xf>
    <x:xf numFmtId="191" fontId="43" fillId="0" borderId="0" xfId="0" applyNumberFormat="1" applyFont="1" applyFill="1" applyBorder="1" applyAlignment="1">
      <x:alignment horizontal="left" vertical="top" wrapText="1"/>
    </x:xf>
    <x:xf numFmtId="0" fontId="52" fillId="0" borderId="0" xfId="0" applyFont="1" applyFill="1" applyAlignment="1">
      <x:alignment vertical="center" wrapText="1"/>
    </x:xf>
    <x:xf numFmtId="192" fontId="48" fillId="0" borderId="0" xfId="0" applyNumberFormat="1" applyFont="1" applyFill="1" applyAlignment="1">
      <x:alignment horizontal="center" vertical="center" wrapText="1"/>
    </x:xf>
    <x:xf numFmtId="0" fontId="52" fillId="0" borderId="0" xfId="0" applyFont="1" applyFill="1" applyAlignment="1">
      <x:alignment horizontal="center" vertical="center"/>
    </x:xf>
    <x:xf numFmtId="0" fontId="52" fillId="0" borderId="0" xfId="0" applyFont="1" applyFill="1" applyAlignment="1">
      <x:alignment wrapText="1"/>
    </x:xf>
    <x:xf numFmtId="0" fontId="52" fillId="0" borderId="0" xfId="0" applyFont="1" applyFill="1" applyAlignment="1">
      <x:alignment horizontal="left" wrapText="1"/>
    </x:xf>
    <x:xf numFmtId="0" fontId="52" fillId="0" borderId="11" xfId="0" applyFont="1" applyFill="1" applyBorder="1" applyAlignment="1">
      <x:alignment vertical="center"/>
    </x:xf>
    <x:xf numFmtId="0" fontId="48" fillId="0" borderId="0" xfId="0" applyFont="1" applyFill="1" applyAlignment="1">
      <x:alignment horizontal="center" vertical="center" wrapText="1"/>
    </x:xf>
    <x:xf numFmtId="189" fontId="62" fillId="0" borderId="11" xfId="0" applyNumberFormat="1" applyFont="1" applyFill="1" applyBorder="1" applyAlignment="1">
      <x:alignment horizontal="center" vertical="center" wrapText="1"/>
    </x:xf>
    <x:xf numFmtId="58" fontId="62" fillId="0" borderId="0" xfId="0" applyNumberFormat="1" applyFont="1" applyFill="1" applyBorder="1" applyAlignment="1">
      <x:alignment horizontal="center" vertical="center" wrapText="1"/>
    </x:xf>
    <x:xf numFmtId="0" fontId="48" fillId="0" borderId="0" xfId="0" applyFont="1" applyFill="1" applyAlignment="1">
      <x:alignment horizontal="center" wrapText="1"/>
    </x:xf>
    <x:xf numFmtId="0" fontId="75" fillId="0" borderId="0" xfId="0" applyFont="1" applyAlignment="1">
      <x:alignment horizontal="center" vertical="center"/>
    </x:xf>
    <x:xf numFmtId="0" fontId="76" fillId="0" borderId="0" xfId="0" applyFont="1">
      <x:alignment vertical="center"/>
    </x:xf>
    <x:xf numFmtId="0" fontId="52" fillId="0" borderId="0" xfId="0" applyFont="1" applyFill="1" applyAlignment="1">
      <x:alignment horizontal="center" vertical="center" wrapText="1"/>
    </x:xf>
    <x:xf numFmtId="0" fontId="52" fillId="0" borderId="11" xfId="0" applyFont="1" applyFill="1" applyBorder="1" applyAlignment="1">
      <x:alignment horizontal="center" vertical="center" wrapText="1"/>
    </x:xf>
    <x:xf numFmtId="0" fontId="43" fillId="0" borderId="0" xfId="0" applyFont="1" applyFill="1" applyBorder="1" applyAlignment="1">
      <x:alignment horizontal="center" wrapText="1"/>
    </x:xf>
    <x:xf numFmtId="0" fontId="43" fillId="0" borderId="0" xfId="0" applyFont="1" applyFill="1" applyBorder="1" applyAlignment="1">
      <x:alignment horizontal="left" wrapText="1"/>
    </x:xf>
    <x:xf numFmtId="0" fontId="52" fillId="0" borderId="0" xfId="0" applyFont="1" applyFill="1" applyBorder="1" applyAlignment="1">
      <x:alignment horizontal="left" vertical="top" wrapText="1"/>
    </x:xf>
    <x:xf numFmtId="184" fontId="52" fillId="0" borderId="0" xfId="0" applyNumberFormat="1" applyFont="1" applyFill="1" applyBorder="1" applyAlignment="1">
      <x:alignment horizontal="left" vertical="top" wrapText="1"/>
    </x:xf>
    <x:xf numFmtId="0" fontId="43" fillId="0" borderId="0" xfId="0" applyFont="1" applyFill="1" applyBorder="1" applyAlignment="1">
      <x:alignment horizontal="left" vertical="top" wrapText="1"/>
    </x:xf>
    <x:xf numFmtId="0" fontId="64" fillId="0" borderId="0" xfId="0" applyFont="1" applyFill="1" applyBorder="1" applyAlignment="1">
      <x:alignment horizontal="left" vertical="top" wrapText="1"/>
    </x:xf>
    <x:xf numFmtId="0" fontId="64" fillId="0" borderId="0" xfId="0" applyFont="1" applyFill="1" applyBorder="1" applyAlignment="1">
      <x:alignment vertical="top" wrapText="1"/>
    </x:xf>
    <x:xf numFmtId="184" fontId="64" fillId="0" borderId="0" xfId="0" applyNumberFormat="1" applyFont="1" applyFill="1" applyBorder="1" applyAlignment="1">
      <x:alignment horizontal="left" vertical="top" wrapText="1"/>
    </x:xf>
    <x:xf numFmtId="0" fontId="43" fillId="0" borderId="47" xfId="0" applyFont="1" applyFill="1" applyBorder="1" applyAlignment="1">
      <x:alignment horizontal="center" vertical="center" wrapText="1"/>
    </x:xf>
    <x:xf numFmtId="0" fontId="43" fillId="0" borderId="41" xfId="0" applyFont="1" applyFill="1" applyBorder="1" applyAlignment="1">
      <x:alignment horizontal="center" vertical="center" wrapText="1"/>
    </x:xf>
    <x:xf numFmtId="0" fontId="43" fillId="0" borderId="40" xfId="0" applyFont="1" applyFill="1" applyBorder="1" applyAlignment="1">
      <x:alignment horizontal="center" vertical="center" wrapText="1"/>
    </x:xf>
    <x:xf numFmtId="184" fontId="35" fillId="0" borderId="47" xfId="0" applyNumberFormat="1" applyFont="1" applyFill="1" applyBorder="1" applyAlignment="1">
      <x:alignment horizontal="center" wrapText="1"/>
    </x:xf>
    <x:xf numFmtId="0" fontId="35" fillId="0" borderId="47" xfId="0" applyFont="1" applyFill="1" applyBorder="1" applyAlignment="1">
      <x:alignment horizontal="center" vertical="center" wrapText="1"/>
    </x:xf>
    <x:xf numFmtId="0" fontId="35" fillId="0" borderId="40" xfId="0" applyFont="1" applyFill="1" applyBorder="1" applyAlignment="1">
      <x:alignment horizontal="center" vertical="center" wrapText="1"/>
    </x:xf>
    <x:xf numFmtId="0" fontId="65" fillId="0" borderId="1" xfId="0" applyFont="1" applyFill="1" applyBorder="1" applyAlignment="1">
      <x:alignment horizontal="left" vertical="top" wrapText="1"/>
    </x:xf>
    <x:xf numFmtId="0" fontId="65" fillId="0" borderId="1" xfId="0" applyFont="1" applyFill="1" applyBorder="1" applyAlignment="1">
      <x:alignment vertical="top" wrapText="1"/>
    </x:xf>
    <x:xf numFmtId="0" fontId="65" fillId="0" borderId="47" xfId="0" applyFont="1" applyFill="1" applyBorder="1" applyAlignment="1">
      <x:alignment horizontal="left" vertical="top" wrapText="1"/>
    </x:xf>
    <x:xf numFmtId="193" fontId="63" fillId="0" borderId="47" xfId="0" applyNumberFormat="1" applyFont="1" applyFill="1" applyBorder="1" applyAlignment="1">
      <x:alignment horizontal="center" vertical="center" wrapText="1"/>
    </x:xf>
    <x:xf numFmtId="193" fontId="63" fillId="0" borderId="40" xfId="0" applyNumberFormat="1" applyFont="1" applyFill="1" applyBorder="1" applyAlignment="1">
      <x:alignment horizontal="center" vertical="center" wrapText="1"/>
    </x:xf>
    <x:xf numFmtId="0" fontId="61" fillId="0" borderId="1" xfId="0" applyFont="1" applyFill="1" applyBorder="1" applyAlignment="1">
      <x:alignment horizontal="left" vertical="top" wrapText="1"/>
    </x:xf>
    <x:xf numFmtId="0" fontId="61" fillId="0" borderId="1" xfId="0" applyFont="1" applyFill="1" applyBorder="1" applyAlignment="1">
      <x:alignment vertical="top" wrapText="1"/>
    </x:xf>
    <x:xf numFmtId="0" fontId="61" fillId="0" borderId="47" xfId="0" applyFont="1" applyFill="1" applyBorder="1" applyAlignment="1">
      <x:alignment horizontal="center" vertical="center" wrapText="1"/>
    </x:xf>
    <x:xf numFmtId="195" fontId="52" fillId="0" borderId="47" xfId="0" applyNumberFormat="1" applyFont="1" applyFill="1" applyBorder="1" applyAlignment="1">
      <x:alignment horizontal="center" vertical="center" wrapText="1"/>
    </x:xf>
    <x:xf numFmtId="195" fontId="52" fillId="0" borderId="40" xfId="0" applyNumberFormat="1" applyFont="1" applyFill="1" applyBorder="1" applyAlignment="1">
      <x:alignment horizontal="center" vertical="center" wrapText="1"/>
    </x:xf>
    <x:xf numFmtId="0" fontId="52" fillId="0" borderId="1" xfId="0" applyFont="1" applyFill="1" applyBorder="1" applyAlignment="1">
      <x:alignment horizontal="center" vertical="center" wrapText="1"/>
    </x:xf>
    <x:xf numFmtId="196" fontId="62" fillId="0" borderId="47" xfId="0" applyNumberFormat="1" applyFont="1" applyFill="1" applyBorder="1" applyAlignment="1">
      <x:alignment horizontal="center" vertical="center" wrapText="1"/>
    </x:xf>
    <x:xf numFmtId="196" fontId="62" fillId="0" borderId="41" xfId="0" applyNumberFormat="1" applyFont="1" applyFill="1" applyBorder="1" applyAlignment="1">
      <x:alignment horizontal="center" vertical="center" wrapText="1"/>
    </x:xf>
    <x:xf numFmtId="196" fontId="62" fillId="0" borderId="40" xfId="0" applyNumberFormat="1" applyFont="1" applyFill="1" applyBorder="1" applyAlignment="1">
      <x:alignment horizontal="center" vertical="center" wrapText="1"/>
    </x:xf>
    <x:xf numFmtId="196" fontId="62" fillId="0" borderId="1" xfId="0" applyNumberFormat="1" applyFont="1" applyFill="1" applyBorder="1" applyAlignment="1">
      <x:alignment horizontal="left" vertical="center" wrapText="1"/>
    </x:xf>
    <x:xf numFmtId="0" fontId="48" fillId="0" borderId="0" xfId="0" applyFont="1" applyFill="1" applyAlignment="1">
      <x:alignment vertical="center" wrapText="1"/>
    </x:xf>
    <x:xf numFmtId="0" fontId="48" fillId="0" borderId="0" xfId="0" applyFont="1" applyFill="1" applyAlignment="1">
      <x:alignment horizontal="left" vertical="center" wrapText="1"/>
    </x:xf>
    <x:xf numFmtId="0" fontId="77" fillId="0" borderId="0" xfId="0" applyFont="1" applyFill="1" applyAlignment="1">
      <x:alignment horizontal="left" vertical="center" wrapText="1"/>
    </x:xf>
    <x:xf numFmtId="191" fontId="77" fillId="0" borderId="0" xfId="0" applyNumberFormat="1" applyFont="1" applyFill="1" applyAlignment="1">
      <x:alignment horizontal="left" vertical="top" wrapText="1"/>
    </x:xf>
    <x:xf numFmtId="0" fontId="52" fillId="0" borderId="0" xfId="0" applyFont="1" applyFill="1" applyBorder="1" applyAlignment="1">
      <x:alignment horizontal="center" vertical="center" wrapText="1"/>
    </x:xf>
    <x:xf numFmtId="195" fontId="62" fillId="0" borderId="1" xfId="0" applyNumberFormat="1" applyFont="1" applyFill="1" applyBorder="1" applyAlignment="1">
      <x:alignment horizontal="left" vertical="center" wrapText="1"/>
    </x:xf>
    <x:xf numFmtId="196" fontId="62" fillId="0" borderId="0" xfId="0" applyNumberFormat="1" applyFont="1" applyFill="1" applyAlignment="1">
      <x:alignment horizontal="center" vertical="center" wrapText="1"/>
    </x:xf>
    <x:xf numFmtId="196" fontId="62" fillId="0" borderId="0" xfId="0" applyNumberFormat="1" applyFont="1" applyFill="1" applyAlignment="1">
      <x:alignment horizontal="left" vertical="center" wrapText="1"/>
    </x:xf>
    <x:xf numFmtId="195" fontId="62" fillId="0" borderId="0" xfId="0" applyNumberFormat="1" applyFont="1" applyFill="1" applyAlignment="1">
      <x:alignment horizontal="left" vertical="center" wrapText="1"/>
    </x:xf>
    <x:xf numFmtId="201" fontId="52" fillId="0" borderId="1" xfId="54" applyNumberFormat="1" applyFont="1" applyFill="1" applyBorder="1" applyAlignment="1">
      <x:alignment horizontal="center" vertical="center" wrapText="1"/>
    </x:xf>
    <x:xf numFmtId="0" fontId="57" fillId="0" borderId="0" xfId="54" applyFont="1" applyFill="1" applyBorder="1" applyAlignment="1">
      <x:alignment horizontal="center"/>
    </x:xf>
    <x:xf numFmtId="0" fontId="52" fillId="0" borderId="0" xfId="54" applyFont="1" applyFill="1" applyBorder="1" applyAlignment="1">
      <x:alignment horizontal="center" vertical="center"/>
    </x:xf>
    <x:xf numFmtId="0" fontId="67" fillId="0" borderId="0" xfId="54" applyFont="1" applyFill="1" applyAlignment="1">
      <x:alignment horizontal="center" vertical="center" wrapText="1"/>
    </x:xf>
    <x:xf numFmtId="0" fontId="55" fillId="0" borderId="0" xfId="0" applyFont="1" applyFill="1" applyBorder="1" applyAlignment="1">
      <x:alignment vertical="center"/>
    </x:xf>
    <x:xf numFmtId="0" fontId="68" fillId="0" borderId="0" xfId="0" applyFont="1" applyFill="1">
      <x:alignment vertical="center"/>
    </x:xf>
    <x:xf numFmtId="0" fontId="55" fillId="0" borderId="0" xfId="0" applyFont="1" applyFill="1" applyAlignment="1">
      <x:alignment vertical="center"/>
    </x:xf>
    <x:xf numFmtId="0" fontId="52" fillId="0" borderId="1" xfId="54" applyFont="1" applyFill="1" applyBorder="1" applyAlignment="1">
      <x:alignment horizontal="center" wrapText="1"/>
    </x:xf>
    <x:xf numFmtId="195" fontId="52" fillId="0" borderId="1" xfId="54" applyNumberFormat="1" applyFont="1" applyBorder="1" applyAlignment="1">
      <x:alignment horizontal="center" vertical="center" wrapText="1"/>
    </x:xf>
    <x:xf numFmtId="195" fontId="78" fillId="0" borderId="1" xfId="54" applyNumberFormat="1" applyFont="1" applyBorder="1" applyAlignment="1">
      <x:alignment horizontal="center" vertical="center"/>
    </x:xf>
    <x:xf numFmtId="0" fontId="37" fillId="0" borderId="0" xfId="0" applyFont="1" applyFill="1" applyAlignment="1">
      <x:alignment vertical="center" wrapText="1"/>
    </x:xf>
    <x:xf numFmtId="0" fontId="79" fillId="0" borderId="0" xfId="54" applyFont="1" applyFill="1" applyBorder="1" applyAlignment="1">
      <x:alignment horizontal="right"/>
    </x:xf>
    <x:xf numFmtId="0" fontId="35" fillId="0" borderId="0" xfId="54" applyFont="1" applyFill="1" applyBorder="1" applyAlignment="1">
      <x:alignment horizontal="center"/>
    </x:xf>
    <x:xf numFmtId="0" fontId="35" fillId="0" borderId="0" xfId="0" applyFont="1" applyFill="1" applyBorder="1" applyAlignment="1">
      <x:alignment vertical="center"/>
    </x:xf>
    <x:xf numFmtId="0" fontId="35" fillId="0" borderId="0" xfId="54" applyFont="1" applyFill="1" applyBorder="1" applyAlignment="1">
      <x:alignment horizontal="right"/>
    </x:xf>
    <x:xf numFmtId="197" fontId="35" fillId="0" borderId="0" xfId="54" applyNumberFormat="1" applyFont="1" applyFill="1" applyBorder="1" applyAlignment="1">
      <x:alignment horizontal="center"/>
    </x:xf>
    <x:xf numFmtId="0" fontId="55" fillId="0" borderId="0" xfId="0" applyFont="1" applyFill="1" applyAlignment="1">
      <x:alignment horizontal="center" vertical="center" wrapText="1"/>
    </x:xf>
    <x:xf numFmtId="0" fontId="35" fillId="0" borderId="0" xfId="54" applyFont="1" applyFill="1" applyAlignment="1">
      <x:alignment horizontal="center" vertical="center" wrapText="1"/>
    </x:xf>
    <x:xf numFmtId="0" fontId="55" fillId="0" borderId="0" xfId="0" applyFont="1" applyFill="1" applyBorder="1" applyAlignment="1">
      <x:alignment horizontal="center" vertical="center" wrapText="1"/>
    </x:xf>
    <x:xf numFmtId="0" fontId="35" fillId="0" borderId="0" xfId="54" applyFont="1" applyFill="1" applyBorder="1" applyAlignment="1">
      <x:alignment horizontal="center" vertical="center" wrapText="1"/>
    </x:xf>
    <x:xf numFmtId="0" fontId="52" fillId="0" borderId="0" xfId="0" applyFont="1" applyFill="1" applyBorder="1" applyAlignment="1">
      <x:alignment horizontal="center" vertical="center"/>
    </x:xf>
    <x:xf numFmtId="0" fontId="0" fillId="0" borderId="0" xfId="0" applyFill="1" applyAlignment="1">
      <x:alignment horizontal="center" vertical="center"/>
    </x:xf>
    <x:xf numFmtId="0" fontId="68" fillId="0" borderId="0" xfId="0" applyFont="1" applyFill="1" applyAlignment="1">
      <x:alignment horizontal="center" vertical="center"/>
    </x:xf>
    <x:xf numFmtId="0" fontId="79" fillId="0" borderId="0" xfId="54" applyFont="1" applyFill="1" applyAlignment="1">
      <x:alignment horizontal="center" vertical="center" wrapText="1"/>
    </x:xf>
    <x:xf numFmtId="189" fontId="52" fillId="0" borderId="0" xfId="0" applyNumberFormat="1" applyFont="1" applyFill="1" applyAlignment="1">
      <x:alignment horizontal="center" vertical="center"/>
    </x:xf>
    <x:xf numFmtId="189" fontId="52" fillId="0" borderId="11" xfId="0" applyNumberFormat="1" applyFont="1" applyFill="1" applyBorder="1" applyAlignment="1">
      <x:alignment horizontal="center" vertical="center"/>
    </x:xf>
    <x:xf numFmtId="0" fontId="79" fillId="0" borderId="0" xfId="54" applyFont="1" applyFill="1" applyBorder="1" applyAlignment="1">
      <x:alignment horizontal="center" vertical="center" wrapText="1"/>
    </x:xf>
    <x:xf numFmtId="0" fontId="69" fillId="0" borderId="0" xfId="0" applyFont="1" applyFill="1">
      <x:alignment vertical="center"/>
    </x:xf>
    <x:xf numFmtId="0" fontId="52" fillId="0" borderId="11" xfId="0" applyFont="1" applyFill="1" applyBorder="1" applyAlignment="1">
      <x:alignment horizontal="center" vertical="center"/>
    </x:xf>
    <x:xf numFmtId="0" fontId="35" fillId="0" borderId="0" xfId="0" applyFont="1" applyFill="1" applyBorder="1" applyAlignment="1">
      <x:alignment horizontal="center" vertical="center"/>
    </x:xf>
    <x:xf numFmtId="0" fontId="70" fillId="0" borderId="0" xfId="0" applyFont="1" applyFill="1" applyAlignment="1">
      <x:alignment vertical="center"/>
    </x:xf>
    <x:xf numFmtId="0" fontId="37" fillId="0" borderId="0" xfId="0" applyFont="1" applyFill="1" applyBorder="1" applyAlignment="1">
      <x:alignment horizontal="left" vertical="center"/>
    </x:xf>
    <x:xf numFmtId="0" fontId="71" fillId="0" borderId="0" xfId="0" applyFont="1" applyFill="1" applyAlignment="1">
      <x:alignment horizontal="left" vertical="center" wrapText="1"/>
    </x:xf>
    <x:xf numFmtId="0" fontId="71" fillId="0" borderId="0" xfId="0" applyFont="1" applyFill="1" applyAlignment="1">
      <x:alignment vertical="center"/>
    </x:xf>
    <x:xf numFmtId="0" fontId="35" fillId="0" borderId="0" xfId="54" applyFont="1" applyFill="1" applyBorder="1" applyAlignment="1"/>
    <x:xf numFmtId="188" fontId="35" fillId="0" borderId="0" xfId="54" applyNumberFormat="1" applyFont="1" applyFill="1" applyBorder="1" applyAlignment="1"/>
    <x:xf numFmtId="188" fontId="52" fillId="0" borderId="1" xfId="54" applyNumberFormat="1" applyFont="1" applyFill="1" applyBorder="1" applyAlignment="1">
      <x:alignment horizontal="center" wrapText="1"/>
    </x:xf>
    <x:xf numFmtId="198" fontId="52" fillId="0" borderId="1" xfId="54" applyNumberFormat="1" applyFont="1" applyFill="1" applyBorder="1" applyAlignment="1">
      <x:alignment horizontal="center" wrapText="1"/>
    </x:xf>
    <x:xf numFmtId="198" fontId="52" fillId="0" borderId="1" xfId="54" applyNumberFormat="1" applyFont="1" applyFill="1" applyBorder="1" applyAlignment="1">
      <x:alignment horizontal="center" vertical="center" wrapText="1"/>
    </x:xf>
    <x:xf numFmtId="0" fontId="52" fillId="0" borderId="1" xfId="54" applyFont="1" applyFill="1" applyBorder="1" applyAlignment="1">
      <x:alignment horizontal="center"/>
    </x:xf>
    <x:xf numFmtId="0" fontId="52" fillId="0" borderId="1" xfId="54" applyFont="1" applyFill="1" applyBorder="1" applyAlignment="1"/>
    <x:xf numFmtId="0" fontId="52" fillId="0" borderId="1" xfId="0" applyFont="1" applyFill="1" applyBorder="1" applyAlignment="1">
      <x:alignment vertical="center"/>
    </x:xf>
    <x:xf numFmtId="195" fontId="78" fillId="0" borderId="1" xfId="54" applyNumberFormat="1" applyFont="1" applyFill="1" applyBorder="1" applyAlignment="1">
      <x:alignment horizontal="center" vertical="center"/>
    </x:xf>
    <x:xf numFmtId="0" fontId="35" fillId="0" borderId="0" xfId="54" applyFont="1" applyFill="1" applyAlignment="1"/>
    <x:xf numFmtId="200" fontId="35" fillId="0" borderId="0" xfId="54" applyNumberFormat="1" applyFont="1" applyFill="1" applyBorder="1" applyAlignment="1"/>
    <x:xf numFmtId="200" fontId="72" fillId="0" borderId="0" xfId="54" applyNumberFormat="1" applyFont="1" applyFill="1" applyBorder="1" applyAlignment="1">
      <x:alignment horizontal="center" vertical="center"/>
    </x:xf>
    <x:xf numFmtId="0" fontId="48" fillId="0" borderId="0" xfId="54" applyFont="1" applyFill="1" applyBorder="1" applyAlignment="1">
      <x:alignment vertical="center"/>
    </x:xf>
    <x:xf numFmtId="183" fontId="48" fillId="0" borderId="0" xfId="54" applyNumberFormat="1" applyFont="1" applyFill="1" applyBorder="1" applyAlignment="1"/>
    <x:xf numFmtId="0" fontId="48" fillId="0" borderId="0" xfId="54" applyFont="1" applyFill="1" applyAlignment="1">
      <x:alignment vertical="center" wrapText="1"/>
    </x:xf>
    <x:xf numFmtId="0" fontId="48" fillId="0" borderId="0" xfId="54" applyFont="1" applyFill="1" applyAlignment="1"/>
    <x:xf numFmtId="0" fontId="48" fillId="0" borderId="0" xfId="54" applyFont="1" applyFill="1" applyAlignment="1">
      <x:alignment vertical="center"/>
    </x:xf>
    <x:xf numFmtId="0" fontId="35" fillId="0" borderId="0" xfId="54" applyFont="1" applyFill="1" applyAlignment="1">
      <x:alignment horizontal="left"/>
    </x:xf>
    <x:xf numFmtId="0" fontId="48" fillId="0" borderId="0" xfId="54" applyFont="1" applyFill="1" applyAlignment="1">
      <x:alignment horizontal="center" vertical="center" wrapText="1"/>
    </x:xf>
    <x:xf numFmtId="0" fontId="48" fillId="0" borderId="0" xfId="54" applyFont="1" applyFill="1" applyAlignment="1">
      <x:alignment horizontal="center" vertical="center"/>
    </x:xf>
    <x:xf numFmtId="0" fontId="48" fillId="0" borderId="0" xfId="54" applyFont="1" applyFill="1" applyAlignment="1">
      <x:alignment horizontal="left" vertical="center" wrapText="1"/>
    </x:xf>
    <x:xf numFmtId="0" fontId="35" fillId="0" borderId="0" xfId="54" applyFont="1" applyFill="1" applyBorder="1" applyAlignment="1">
      <x:alignment vertical="center"/>
    </x:xf>
    <x:xf numFmtId="0" fontId="70" fillId="0" borderId="0" xfId="0" applyFont="1" applyFill="1" applyAlignment="1">
      <x:alignment vertical="center" wrapText="1"/>
    </x:xf>
    <x:xf numFmtId="0" fontId="37" fillId="0" borderId="0" xfId="0" applyFont="1" applyFill="1" applyBorder="1" applyAlignment="1">
      <x:alignment horizontal="left" vertical="center" wrapText="1"/>
    </x:xf>
    <x:xf numFmtId="0" fontId="80" fillId="0" borderId="0" xfId="0" applyFont="1" applyFill="1" applyAlignment="1">
      <x:alignment horizontal="left" vertical="center" wrapText="1"/>
    </x:xf>
    <x:xf numFmtId="0" fontId="80" fillId="0" borderId="0" xfId="0" applyFont="1" applyFill="1" applyAlignment="1">
      <x:alignment horizontal="left" vertical="center"/>
    </x:xf>
    <x:xf numFmtId="0" fontId="35" fillId="0" borderId="0" xfId="0" applyFont="1" applyFill="1" applyBorder="1" applyAlignment="1">
      <x:alignment vertical="center" wrapText="1"/>
    </x:xf>
    <x:xf numFmtId="0" fontId="70" fillId="0" borderId="0" xfId="0" applyFont="1" applyFill="1" applyAlignment="1">
      <x:alignment horizontal="left" vertical="center" wrapText="1"/>
    </x:xf>
    <x:xf numFmtId="0" fontId="73" fillId="0" borderId="0" xfId="0" applyFont="1" applyFill="1">
      <x:alignment vertical="center"/>
    </x:xf>
    <x:xf numFmtId="0" fontId="35" fillId="0" borderId="0" xfId="0" applyFont="1" applyFill="1" applyAlignment="1">
      <x:alignment horizontal="center" vertical="center" wrapText="1"/>
    </x:xf>
    <x:xf numFmtId="202" fontId="52" fillId="0" borderId="1" xfId="54" applyNumberFormat="1" applyFont="1" applyFill="1" applyBorder="1" applyAlignment="1">
      <x:alignment horizontal="center" vertical="center" wrapText="1"/>
    </x:xf>
    <x:xf numFmtId="0" fontId="81" fillId="5" borderId="0" xfId="0" applyFont="1" applyFill="1">
      <x:alignment vertical="center"/>
    </x:xf>
    <x:xf numFmtId="0" fontId="81" fillId="6" borderId="0" xfId="0" applyFont="1" applyFill="1">
      <x:alignment vertical="center"/>
    </x:xf>
    <x:xf numFmtId="0" fontId="37" fillId="5" borderId="0" xfId="0" applyFont="1" applyFill="1" applyAlignment="1">
      <x:alignment horizontal="center" vertical="center"/>
    </x:xf>
    <x:xf numFmtId="0" fontId="81" fillId="7" borderId="0" xfId="0" applyFont="1" applyFill="1">
      <x:alignment vertical="center"/>
    </x:xf>
    <x:xf numFmtId="0" fontId="81" fillId="0" borderId="0" xfId="0" applyFont="1" applyFill="1">
      <x:alignment vertical="center"/>
    </x:xf>
    <x:xf numFmtId="0" fontId="81" fillId="0" borderId="1" xfId="0" applyFont="1" applyFill="1" applyBorder="1">
      <x:alignment vertical="center"/>
    </x:xf>
    <x:xf numFmtId="0" fontId="82" fillId="0" borderId="0" xfId="0" applyFont="1">
      <x:alignment vertical="center"/>
    </x:xf>
    <x:xf numFmtId="0" fontId="37" fillId="0" borderId="0" xfId="0" applyFont="1" applyAlignment="1">
      <x:alignment horizontal="center" vertical="center"/>
    </x:xf>
    <x:xf numFmtId="0" fontId="83" fillId="8" borderId="0" xfId="0" applyFont="1" applyFill="1" applyAlignment="1">
      <x:alignment horizontal="center" vertical="center"/>
    </x:xf>
    <x:xf numFmtId="0" fontId="81" fillId="0" borderId="0" xfId="0" applyFont="1">
      <x:alignment vertical="center"/>
    </x:xf>
    <x:xf numFmtId="183" fontId="35" fillId="0" borderId="0" xfId="0" applyNumberFormat="1" applyFont="1" applyFill="1" applyBorder="1" applyAlignment="1">
      <x:alignment horizontal="center" vertical="center" wrapText="1"/>
    </x:xf>
    <x:xf numFmtId="0" fontId="84" fillId="0" borderId="0" xfId="0" applyFont="1">
      <x:alignment vertical="center"/>
    </x:xf>
    <x:xf numFmtId="0" fontId="84" fillId="0" borderId="0" xfId="0" applyFont="1" applyAlignment="1">
      <x:alignment horizontal="center" vertical="center" wrapText="1"/>
    </x:xf>
    <x:xf numFmtId="0" fontId="85" fillId="0" borderId="0" xfId="0" applyFont="1">
      <x:alignment vertical="center"/>
    </x:xf>
    <x:xf numFmtId="183" fontId="35" fillId="0" borderId="0" xfId="0" applyNumberFormat="1" applyFont="1" applyAlignment="1">
      <x:alignment horizontal="center" vertical="center" wrapText="1"/>
    </x:xf>
    <x:xf numFmtId="0" fontId="35" fillId="2" borderId="1" xfId="0" applyFont="1" applyFill="1" applyBorder="1" applyAlignment="1">
      <x:alignment horizontal="center" vertical="center" wrapText="1"/>
    </x:xf>
    <x:xf numFmtId="0" fontId="38" fillId="7" borderId="1" xfId="0" applyFont="1" applyFill="1" applyBorder="1" applyAlignment="1">
      <x:alignment horizontal="center" vertical="center" wrapText="1"/>
    </x:xf>
    <x:xf numFmtId="0" fontId="66" fillId="0" borderId="47" xfId="0" applyFont="1" applyFill="1" applyBorder="1" applyAlignment="1">
      <x:alignment horizontal="center" vertical="center" wrapText="1"/>
    </x:xf>
    <x:xf numFmtId="0" fontId="66" fillId="0" borderId="1" xfId="0" applyFont="1" applyFill="1" applyBorder="1" applyAlignment="1">
      <x:alignment horizontal="center" vertical="center" wrapText="1"/>
    </x:xf>
    <x:xf numFmtId="203" fontId="35" fillId="2" borderId="40" xfId="0" applyNumberFormat="1" applyFont="1" applyFill="1" applyBorder="1" applyAlignment="1">
      <x:alignment horizontal="center" vertical="center" wrapText="1"/>
    </x:xf>
    <x:xf numFmtId="49" fontId="35" fillId="9" borderId="1" xfId="0" applyNumberFormat="1" applyFont="1" applyFill="1" applyBorder="1" applyAlignment="1">
      <x:alignment horizontal="center" vertical="center" wrapText="1"/>
    </x:xf>
    <x:xf numFmtId="0" fontId="35" fillId="9" borderId="1" xfId="0" applyFont="1" applyFill="1" applyBorder="1" applyAlignment="1">
      <x:alignment horizontal="center" vertical="center" wrapText="1"/>
    </x:xf>
    <x:xf numFmtId="203" fontId="35" fillId="0" borderId="1" xfId="0" applyNumberFormat="1" applyFont="1" applyFill="1" applyBorder="1" applyAlignment="1">
      <x:alignment horizontal="center" vertical="center" wrapText="1"/>
    </x:xf>
    <x:xf numFmtId="204" fontId="35" fillId="0" borderId="1" xfId="0" applyNumberFormat="1" applyFont="1" applyFill="1" applyBorder="1" applyAlignment="1">
      <x:alignment horizontal="center" vertical="center" wrapText="1"/>
    </x:xf>
    <x:xf numFmtId="181" fontId="35" fillId="0" borderId="1" xfId="0" applyNumberFormat="1" applyFont="1" applyFill="1" applyBorder="1" applyAlignment="1">
      <x:alignment horizontal="center" vertical="center" wrapText="1"/>
    </x:xf>
    <x:xf numFmtId="189" fontId="35" fillId="0" borderId="1" xfId="0" applyNumberFormat="1" applyFont="1" applyFill="1" applyBorder="1" applyAlignment="1">
      <x:alignment horizontal="center" vertical="center" wrapText="1"/>
    </x:xf>
    <x:xf numFmtId="205" fontId="35" fillId="0" borderId="1" xfId="0" applyNumberFormat="1" applyFont="1" applyFill="1" applyBorder="1" applyAlignment="1">
      <x:alignment horizontal="center" vertical="center" wrapText="1"/>
    </x:xf>
    <x:xf numFmtId="0" fontId="66" fillId="2" borderId="1" xfId="0" applyFont="1" applyFill="1" applyBorder="1" applyAlignment="1">
      <x:alignment horizontal="center" vertical="center" wrapText="1"/>
    </x:xf>
    <x:xf numFmtId="0" fontId="37" fillId="2" borderId="1" xfId="0" applyFont="1" applyFill="1" applyBorder="1" applyAlignment="1">
      <x:alignment horizontal="center" vertical="center" wrapText="1"/>
    </x:xf>
    <x:xf numFmtId="0" fontId="66" fillId="2" borderId="1" xfId="0" applyFont="1" applyFill="1" applyBorder="1" applyAlignment="1">
      <x:alignment horizontal="center" vertical="center"/>
    </x:xf>
    <x:xf numFmtId="49" fontId="35" fillId="0" borderId="1" xfId="0" applyNumberFormat="1" applyFont="1" applyFill="1" applyBorder="1" applyAlignment="1">
      <x:alignment horizontal="center" vertical="center" wrapText="1"/>
    </x:xf>
    <x:xf numFmtId="0" fontId="86" fillId="0" borderId="1" xfId="0" applyFont="1" applyFill="1" applyBorder="1" applyAlignment="1">
      <x:alignment horizontal="center" vertical="center" wrapText="1"/>
    </x:xf>
    <x:xf numFmtId="0" fontId="67" fillId="0" borderId="1" xfId="0" applyFont="1" applyFill="1" applyBorder="1" applyAlignment="1">
      <x:alignment horizontal="center" vertical="center" wrapText="1"/>
    </x:xf>
    <x:xf numFmtId="184" fontId="37" fillId="0" borderId="1" xfId="0" applyNumberFormat="1" applyFont="1" applyFill="1" applyBorder="1" applyAlignment="1">
      <x:alignment horizontal="center" vertical="center" wrapText="1"/>
    </x:xf>
    <x:xf numFmtId="0" fontId="35" fillId="0" borderId="1" xfId="0" applyNumberFormat="1" applyFont="1" applyFill="1" applyBorder="1" applyAlignment="1">
      <x:alignment horizontal="center" vertical="center" wrapText="1"/>
    </x:xf>
    <x:xf numFmtId="0" fontId="35" fillId="5" borderId="1" xfId="0" applyFont="1" applyFill="1" applyBorder="1" applyAlignment="1">
      <x:alignment horizontal="center" vertical="center" wrapText="1"/>
    </x:xf>
    <x:xf numFmtId="0" fontId="66" fillId="5" borderId="1" xfId="0" applyFont="1" applyFill="1" applyBorder="1" applyAlignment="1">
      <x:alignment horizontal="center" vertical="center" wrapText="1"/>
    </x:xf>
    <x:xf numFmtId="0" fontId="38" fillId="5" borderId="1" xfId="0" applyFont="1" applyFill="1" applyBorder="1" applyAlignment="1">
      <x:alignment horizontal="center" vertical="center" wrapText="1"/>
    </x:xf>
    <x:xf numFmtId="0" fontId="37" fillId="5" borderId="1" xfId="0" applyFont="1" applyFill="1" applyBorder="1" applyAlignment="1">
      <x:alignment horizontal="center" vertical="center" wrapText="1"/>
    </x:xf>
    <x:xf numFmtId="183" fontId="37" fillId="5" borderId="1" xfId="0" applyNumberFormat="1" applyFont="1" applyFill="1" applyBorder="1" applyAlignment="1">
      <x:alignment horizontal="center" vertical="center" wrapText="1"/>
    </x:xf>
    <x:xf numFmtId="184" fontId="66" fillId="5" borderId="1" xfId="0" applyNumberFormat="1" applyFont="1" applyFill="1" applyBorder="1" applyAlignment="1">
      <x:alignment horizontal="center" vertical="center" wrapText="1"/>
    </x:xf>
    <x:xf numFmtId="183" fontId="38" fillId="5" borderId="1" xfId="0" applyNumberFormat="1" applyFont="1" applyFill="1" applyBorder="1" applyAlignment="1">
      <x:alignment horizontal="center" vertical="center" wrapText="1"/>
    </x:xf>
    <x:xf numFmtId="183" fontId="37" fillId="5" borderId="1" xfId="0" applyNumberFormat="1" applyFont="1" applyFill="1" applyBorder="1" applyAlignment="1">
      <x:alignment horizontal="center" vertical="center"/>
    </x:xf>
    <x:xf numFmtId="183" fontId="35" fillId="5" borderId="1" xfId="0" applyNumberFormat="1" applyFont="1" applyFill="1" applyBorder="1" applyAlignment="1">
      <x:alignment horizontal="center" vertical="center" wrapText="1"/>
    </x:xf>
    <x:xf numFmtId="181" fontId="35" fillId="5" borderId="1" xfId="0" applyNumberFormat="1" applyFont="1" applyFill="1" applyBorder="1" applyAlignment="1">
      <x:alignment horizontal="center" vertical="center"/>
    </x:xf>
    <x:xf numFmtId="181" fontId="35" fillId="5" borderId="1" xfId="0" applyNumberFormat="1" applyFont="1" applyFill="1" applyBorder="1" applyAlignment="1">
      <x:alignment horizontal="center" vertical="center" wrapText="1"/>
    </x:xf>
    <x:xf numFmtId="179" fontId="3" fillId="5" borderId="1" xfId="53" applyFont="1" applyFill="1" applyBorder="1" applyAlignment="1">
      <x:alignment horizontal="center" vertical="center" wrapText="1"/>
    </x:xf>
    <x:xf numFmtId="0" fontId="35" fillId="5" borderId="1" xfId="0" applyFont="1" applyFill="1" applyBorder="1" applyAlignment="1">
      <x:alignment horizontal="center" vertical="center"/>
    </x:xf>
    <x:xf numFmtId="189" fontId="35" fillId="5" borderId="1" xfId="0" applyNumberFormat="1" applyFont="1" applyFill="1" applyBorder="1" applyAlignment="1">
      <x:alignment horizontal="center" vertical="center" wrapText="1"/>
    </x:xf>
    <x:xf numFmtId="202" fontId="35" fillId="5" borderId="1" xfId="0" applyNumberFormat="1" applyFont="1" applyFill="1" applyBorder="1" applyAlignment="1">
      <x:alignment horizontal="center" vertical="center" wrapText="1"/>
    </x:xf>
    <x:xf numFmtId="195" fontId="35" fillId="5" borderId="1" xfId="0" applyNumberFormat="1" applyFont="1" applyFill="1" applyBorder="1" applyAlignment="1">
      <x:alignment horizontal="center" vertical="center" wrapText="1"/>
    </x:xf>
    <x:xf numFmtId="195" fontId="35" fillId="5" borderId="20" xfId="0" applyNumberFormat="1" applyFont="1" applyFill="1" applyBorder="1" applyAlignment="1">
      <x:alignment horizontal="center" vertical="center" wrapText="1"/>
    </x:xf>
    <x:xf numFmtId="206" fontId="37" fillId="5" borderId="1" xfId="0" applyNumberFormat="1" applyFont="1" applyFill="1" applyBorder="1" applyAlignment="1">
      <x:alignment horizontal="center" vertical="center" wrapText="1"/>
    </x:xf>
    <x:xf numFmtId="0" fontId="87" fillId="5" borderId="1" xfId="0" applyFont="1" applyFill="1" applyBorder="1" applyAlignment="1">
      <x:alignment horizontal="center" vertical="center" wrapText="1"/>
    </x:xf>
    <x:xf numFmtId="207" fontId="88" fillId="5" borderId="1" xfId="0" applyNumberFormat="1" applyFont="1" applyFill="1" applyBorder="1" applyAlignment="1">
      <x:alignment horizontal="center" vertical="center" wrapText="1"/>
    </x:xf>
    <x:xf numFmtId="189" fontId="37" fillId="5" borderId="1" xfId="0" applyNumberFormat="1" applyFont="1" applyFill="1" applyBorder="1" applyAlignment="1">
      <x:alignment horizontal="center" vertical="center" wrapText="1"/>
    </x:xf>
    <x:xf numFmtId="208" fontId="35" fillId="5" borderId="1" xfId="0" applyNumberFormat="1" applyFont="1" applyFill="1" applyBorder="1" applyAlignment="1">
      <x:alignment horizontal="center" vertical="center" wrapText="1"/>
    </x:xf>
    <x:xf numFmtId="208" fontId="35" fillId="5" borderId="86" xfId="0" applyNumberFormat="1" applyFont="1" applyFill="1" applyBorder="1" applyAlignment="1">
      <x:alignment horizontal="center" vertical="center" wrapText="1"/>
    </x:xf>
    <x:xf numFmtId="0" fontId="86" fillId="5" borderId="1" xfId="0" applyFont="1" applyFill="1" applyBorder="1" applyAlignment="1">
      <x:alignment horizontal="center" vertical="center" wrapText="1"/>
    </x:xf>
    <x:xf numFmtId="0" fontId="89" fillId="5" borderId="20" xfId="0" applyFont="1" applyFill="1" applyBorder="1" applyAlignment="1">
      <x:alignment horizontal="center" vertical="center" wrapText="1"/>
    </x:xf>
    <x:xf numFmtId="0" fontId="37" fillId="5" borderId="14" xfId="0" applyNumberFormat="1" applyFont="1" applyFill="1" applyBorder="1" applyAlignment="1">
      <x:alignment horizontal="center" vertical="center" wrapText="1"/>
    </x:xf>
    <x:xf numFmtId="0" fontId="37" fillId="5" borderId="14" xfId="0" applyFont="1" applyFill="1" applyBorder="1" applyAlignment="1">
      <x:alignment horizontal="center" vertical="center" wrapText="1"/>
    </x:xf>
    <x:xf numFmtId="0" fontId="35" fillId="5" borderId="14" xfId="0" applyNumberFormat="1" applyFont="1" applyFill="1" applyBorder="1" applyAlignment="1">
      <x:alignment horizontal="center" vertical="center" wrapText="1"/>
    </x:xf>
    <x:xf numFmtId="0" fontId="35" fillId="5" borderId="1" xfId="0" applyNumberFormat="1" applyFont="1" applyFill="1" applyBorder="1" applyAlignment="1">
      <x:alignment horizontal="center" vertical="center" wrapText="1"/>
    </x:xf>
    <x:xf numFmtId="0" fontId="36" fillId="5" borderId="1" xfId="0" applyFont="1" applyFill="1" applyBorder="1" applyAlignment="1">
      <x:alignment horizontal="center" vertical="center"/>
    </x:xf>
    <x:xf numFmtId="0" fontId="66" fillId="5" borderId="1" xfId="0" applyNumberFormat="1" applyFont="1" applyFill="1" applyBorder="1" applyAlignment="1">
      <x:alignment vertical="center"/>
    </x:xf>
    <x:xf numFmtId="0" fontId="66" fillId="5" borderId="1" xfId="0" applyNumberFormat="1" applyFont="1" applyFill="1" applyBorder="1" applyAlignment="1">
      <x:alignment horizontal="center" vertical="center"/>
    </x:xf>
    <x:xf numFmtId="0" fontId="37" fillId="2" borderId="20" xfId="0" applyFont="1" applyFill="1" applyBorder="1" applyAlignment="1">
      <x:alignment horizontal="center" vertical="center"/>
    </x:xf>
    <x:xf numFmtId="0" fontId="0" fillId="5" borderId="0" xfId="0" applyFill="1">
      <x:alignment vertical="center"/>
    </x:xf>
    <x:xf numFmtId="195" fontId="35" fillId="5" borderId="86" xfId="0" applyNumberFormat="1" applyFont="1" applyFill="1" applyBorder="1" applyAlignment="1">
      <x:alignment horizontal="center" vertical="center" wrapText="1"/>
    </x:xf>
    <x:xf numFmtId="0" fontId="89" fillId="5" borderId="86" xfId="0" applyFont="1" applyFill="1" applyBorder="1" applyAlignment="1">
      <x:alignment horizontal="center" vertical="center" wrapText="1"/>
    </x:xf>
    <x:xf numFmtId="0" fontId="37" fillId="2" borderId="86" xfId="0" applyFont="1" applyFill="1" applyBorder="1" applyAlignment="1">
      <x:alignment horizontal="center" vertical="center"/>
    </x:xf>
    <x:xf numFmtId="0" fontId="3" fillId="5" borderId="1" xfId="0" applyFont="1" applyFill="1" applyBorder="1" applyAlignment="1">
      <x:alignment horizontal="center" vertical="center" wrapText="1"/>
    </x:xf>
    <x:xf numFmtId="202" fontId="35" fillId="9" borderId="1" xfId="0" applyNumberFormat="1" applyFont="1" applyFill="1" applyBorder="1" applyAlignment="1">
      <x:alignment horizontal="center" vertical="center" wrapText="1"/>
    </x:xf>
    <x:xf numFmtId="195" fontId="35" fillId="9" borderId="1" xfId="0" applyNumberFormat="1" applyFont="1" applyFill="1" applyBorder="1" applyAlignment="1">
      <x:alignment horizontal="center" vertical="center" wrapText="1"/>
    </x:xf>
    <x:xf numFmtId="0" fontId="35" fillId="6" borderId="1" xfId="0" applyFont="1" applyFill="1" applyBorder="1" applyAlignment="1">
      <x:alignment horizontal="center" vertical="center" wrapText="1"/>
    </x:xf>
    <x:xf numFmtId="0" fontId="66" fillId="6" borderId="1" xfId="0" applyFont="1" applyFill="1" applyBorder="1" applyAlignment="1">
      <x:alignment horizontal="center" vertical="center" wrapText="1"/>
    </x:xf>
    <x:xf numFmtId="0" fontId="38" fillId="6" borderId="1" xfId="0" applyFont="1" applyFill="1" applyBorder="1" applyAlignment="1">
      <x:alignment horizontal="center" vertical="center" wrapText="1"/>
    </x:xf>
    <x:xf numFmtId="0" fontId="37" fillId="6" borderId="1" xfId="0" applyFont="1" applyFill="1" applyBorder="1" applyAlignment="1">
      <x:alignment horizontal="center" vertical="center" wrapText="1"/>
    </x:xf>
    <x:xf numFmtId="183" fontId="37" fillId="6" borderId="1" xfId="0" applyNumberFormat="1" applyFont="1" applyFill="1" applyBorder="1" applyAlignment="1">
      <x:alignment horizontal="center" vertical="center" wrapText="1"/>
    </x:xf>
    <x:xf numFmtId="183" fontId="38" fillId="6" borderId="1" xfId="0" applyNumberFormat="1" applyFont="1" applyFill="1" applyBorder="1" applyAlignment="1">
      <x:alignment horizontal="center" vertical="center" wrapText="1"/>
    </x:xf>
    <x:xf numFmtId="184" fontId="37" fillId="6" borderId="1" xfId="0" applyNumberFormat="1" applyFont="1" applyFill="1" applyBorder="1" applyAlignment="1">
      <x:alignment horizontal="center" vertical="center"/>
    </x:xf>
    <x:xf numFmtId="184" fontId="35" fillId="6" borderId="1" xfId="0" applyNumberFormat="1" applyFont="1" applyFill="1" applyBorder="1" applyAlignment="1">
      <x:alignment horizontal="center" vertical="center" wrapText="1"/>
    </x:xf>
    <x:xf numFmtId="181" fontId="35" fillId="6" borderId="1" xfId="0" applyNumberFormat="1" applyFont="1" applyFill="1" applyBorder="1" applyAlignment="1">
      <x:alignment horizontal="center" vertical="center"/>
    </x:xf>
    <x:xf numFmtId="0" fontId="90" fillId="6" borderId="1" xfId="0" applyFont="1" applyFill="1" applyBorder="1" applyAlignment="1">
      <x:alignment horizontal="center" vertical="center" wrapText="1"/>
    </x:xf>
    <x:xf numFmtId="0" fontId="35" fillId="6" borderId="1" xfId="0" applyFont="1" applyFill="1" applyBorder="1" applyAlignment="1">
      <x:alignment horizontal="center" vertical="center"/>
    </x:xf>
    <x:xf numFmtId="189" fontId="35" fillId="6" borderId="1" xfId="0" applyNumberFormat="1" applyFont="1" applyFill="1" applyBorder="1" applyAlignment="1">
      <x:alignment horizontal="center" vertical="center" wrapText="1"/>
    </x:xf>
    <x:xf numFmtId="202" fontId="35" fillId="6" borderId="1" xfId="0" applyNumberFormat="1" applyFont="1" applyFill="1" applyBorder="1" applyAlignment="1">
      <x:alignment horizontal="center" vertical="center" wrapText="1"/>
    </x:xf>
    <x:xf numFmtId="195" fontId="35" fillId="6" borderId="1" xfId="0" applyNumberFormat="1" applyFont="1" applyFill="1" applyBorder="1" applyAlignment="1">
      <x:alignment horizontal="center" vertical="center" wrapText="1"/>
    </x:xf>
    <x:xf numFmtId="195" fontId="35" fillId="6" borderId="20" xfId="0" applyNumberFormat="1" applyFont="1" applyFill="1" applyBorder="1" applyAlignment="1">
      <x:alignment horizontal="center" vertical="center" wrapText="1"/>
    </x:xf>
    <x:xf numFmtId="206" fontId="37" fillId="6" borderId="1" xfId="0" applyNumberFormat="1" applyFont="1" applyFill="1" applyBorder="1" applyAlignment="1">
      <x:alignment horizontal="center" vertical="center" wrapText="1"/>
    </x:xf>
    <x:xf numFmtId="0" fontId="87" fillId="6" borderId="1" xfId="0" applyFont="1" applyFill="1" applyBorder="1" applyAlignment="1">
      <x:alignment horizontal="center" vertical="center" wrapText="1"/>
    </x:xf>
    <x:xf numFmtId="207" fontId="88" fillId="6" borderId="1" xfId="0" applyNumberFormat="1" applyFont="1" applyFill="1" applyBorder="1" applyAlignment="1">
      <x:alignment horizontal="center" vertical="center" wrapText="1"/>
    </x:xf>
    <x:xf numFmtId="189" fontId="37" fillId="6" borderId="1" xfId="0" applyNumberFormat="1" applyFont="1" applyFill="1" applyBorder="1" applyAlignment="1">
      <x:alignment horizontal="center" vertical="center" wrapText="1"/>
    </x:xf>
    <x:xf numFmtId="0" fontId="86" fillId="6" borderId="1" xfId="0" applyFont="1" applyFill="1" applyBorder="1" applyAlignment="1">
      <x:alignment horizontal="center" vertical="center" wrapText="1"/>
    </x:xf>
    <x:xf numFmtId="0" fontId="89" fillId="6" borderId="20" xfId="0" applyFont="1" applyFill="1" applyBorder="1" applyAlignment="1">
      <x:alignment horizontal="center" vertical="center" wrapText="1"/>
    </x:xf>
    <x:xf numFmtId="0" fontId="37" fillId="6" borderId="1" xfId="0" applyNumberFormat="1" applyFont="1" applyFill="1" applyBorder="1" applyAlignment="1">
      <x:alignment horizontal="center" vertical="center" wrapText="1"/>
    </x:xf>
    <x:xf numFmtId="0" fontId="35" fillId="6" borderId="1" xfId="0" applyNumberFormat="1" applyFont="1" applyFill="1" applyBorder="1" applyAlignment="1">
      <x:alignment horizontal="center" vertical="center" wrapText="1"/>
    </x:xf>
    <x:xf numFmtId="0" fontId="36" fillId="6" borderId="1" xfId="0" applyFont="1" applyFill="1" applyBorder="1" applyAlignment="1">
      <x:alignment horizontal="center" vertical="center"/>
    </x:xf>
    <x:xf numFmtId="183" fontId="37" fillId="6" borderId="1" xfId="0" applyNumberFormat="1" applyFont="1" applyFill="1" applyBorder="1" applyAlignment="1">
      <x:alignment horizontal="center" vertical="center"/>
    </x:xf>
    <x:xf numFmtId="0" fontId="66" fillId="6" borderId="1" xfId="0" applyNumberFormat="1" applyFont="1" applyFill="1" applyBorder="1" applyAlignment="1">
      <x:alignment vertical="center"/>
    </x:xf>
    <x:xf numFmtId="0" fontId="66" fillId="6" borderId="1" xfId="0" applyNumberFormat="1" applyFont="1" applyFill="1" applyBorder="1" applyAlignment="1">
      <x:alignment horizontal="center" vertical="center"/>
    </x:xf>
    <x:xf numFmtId="0" fontId="0" fillId="6" borderId="0" xfId="0" applyFill="1">
      <x:alignment vertical="center"/>
    </x:xf>
    <x:xf numFmtId="184" fontId="66" fillId="6" borderId="1" xfId="0" applyNumberFormat="1" applyFont="1" applyFill="1" applyBorder="1" applyAlignment="1">
      <x:alignment horizontal="center" vertical="center" wrapText="1"/>
    </x:xf>
    <x:xf numFmtId="0" fontId="90" fillId="6" borderId="14" xfId="0" applyFont="1" applyFill="1" applyBorder="1" applyAlignment="1">
      <x:alignment horizontal="center" vertical="center" wrapText="1"/>
    </x:xf>
    <x:xf numFmtId="195" fontId="35" fillId="6" borderId="86" xfId="0" applyNumberFormat="1" applyFont="1" applyFill="1" applyBorder="1" applyAlignment="1">
      <x:alignment horizontal="center" vertical="center" wrapText="1"/>
    </x:xf>
    <x:xf numFmtId="0" fontId="89" fillId="6" borderId="14" xfId="0" applyFont="1" applyFill="1" applyBorder="1" applyAlignment="1">
      <x:alignment horizontal="center" vertical="center" wrapText="1"/>
    </x:xf>
    <x:xf numFmtId="209" fontId="66" fillId="6" borderId="1" xfId="0" applyNumberFormat="1" applyFont="1" applyFill="1" applyBorder="1" applyAlignment="1">
      <x:alignment horizontal="center" vertical="center" wrapText="1"/>
    </x:xf>
    <x:xf numFmtId="183" fontId="35" fillId="6" borderId="1" xfId="0" applyNumberFormat="1" applyFont="1" applyFill="1" applyBorder="1" applyAlignment="1">
      <x:alignment horizontal="center" vertical="center" wrapText="1"/>
    </x:xf>
    <x:xf numFmtId="181" fontId="35" fillId="6" borderId="20" xfId="0" applyNumberFormat="1" applyFont="1" applyFill="1" applyBorder="1" applyAlignment="1">
      <x:alignment horizontal="center" vertical="center"/>
    </x:xf>
    <x:xf numFmtId="181" fontId="35" fillId="6" borderId="20" xfId="0" applyNumberFormat="1" applyFont="1" applyFill="1" applyBorder="1" applyAlignment="1">
      <x:alignment horizontal="center" vertical="center" wrapText="1"/>
    </x:xf>
    <x:xf numFmtId="0" fontId="84" fillId="6" borderId="1" xfId="0" applyFont="1" applyFill="1" applyBorder="1" applyAlignment="1">
      <x:alignment horizontal="center" vertical="center"/>
    </x:xf>
    <x:xf numFmtId="0" fontId="37" fillId="6" borderId="20" xfId="0" applyNumberFormat="1" applyFont="1" applyFill="1" applyBorder="1" applyAlignment="1">
      <x:alignment horizontal="center" vertical="center" wrapText="1"/>
    </x:xf>
    <x:xf numFmtId="0" fontId="37" fillId="6" borderId="20" xfId="0" applyFont="1" applyFill="1" applyBorder="1" applyAlignment="1">
      <x:alignment horizontal="center" vertical="center" wrapText="1"/>
    </x:xf>
    <x:xf numFmtId="0" fontId="35" fillId="6" borderId="20" xfId="0" applyNumberFormat="1" applyFont="1" applyFill="1" applyBorder="1" applyAlignment="1">
      <x:alignment horizontal="center" vertical="center" wrapText="1"/>
    </x:xf>
    <x:xf numFmtId="181" fontId="35" fillId="6" borderId="86" xfId="0" applyNumberFormat="1" applyFont="1" applyFill="1" applyBorder="1" applyAlignment="1">
      <x:alignment horizontal="center" vertical="center"/>
    </x:xf>
    <x:xf numFmtId="181" fontId="35" fillId="6" borderId="86" xfId="0" applyNumberFormat="1" applyFont="1" applyFill="1" applyBorder="1" applyAlignment="1">
      <x:alignment horizontal="center" vertical="center" wrapText="1"/>
    </x:xf>
    <x:xf numFmtId="0" fontId="89" fillId="6" borderId="86" xfId="0" applyFont="1" applyFill="1" applyBorder="1" applyAlignment="1">
      <x:alignment horizontal="center" vertical="center" wrapText="1"/>
    </x:xf>
    <x:xf numFmtId="0" fontId="37" fillId="6" borderId="86" xfId="0" applyNumberFormat="1" applyFont="1" applyFill="1" applyBorder="1" applyAlignment="1">
      <x:alignment horizontal="center" vertical="center" wrapText="1"/>
    </x:xf>
    <x:xf numFmtId="0" fontId="37" fillId="6" borderId="86" xfId="0" applyFont="1" applyFill="1" applyBorder="1" applyAlignment="1">
      <x:alignment horizontal="center" vertical="center" wrapText="1"/>
    </x:xf>
    <x:xf numFmtId="0" fontId="35" fillId="6" borderId="86" xfId="0" applyNumberFormat="1" applyFont="1" applyFill="1" applyBorder="1" applyAlignment="1">
      <x:alignment horizontal="center" vertical="center" wrapText="1"/>
    </x:xf>
    <x:xf numFmtId="181" fontId="35" fillId="6" borderId="14" xfId="0" applyNumberFormat="1" applyFont="1" applyFill="1" applyBorder="1" applyAlignment="1">
      <x:alignment horizontal="center" vertical="center"/>
    </x:xf>
    <x:xf numFmtId="181" fontId="35" fillId="6" borderId="14" xfId="0" applyNumberFormat="1" applyFont="1" applyFill="1" applyBorder="1" applyAlignment="1">
      <x:alignment horizontal="center" vertical="center" wrapText="1"/>
    </x:xf>
    <x:xf numFmtId="195" fontId="35" fillId="6" borderId="14" xfId="0" applyNumberFormat="1" applyFont="1" applyFill="1" applyBorder="1" applyAlignment="1">
      <x:alignment horizontal="center" vertical="center" wrapText="1"/>
    </x:xf>
    <x:xf numFmtId="0" fontId="37" fillId="6" borderId="14" xfId="0" applyNumberFormat="1" applyFont="1" applyFill="1" applyBorder="1" applyAlignment="1">
      <x:alignment horizontal="center" vertical="center" wrapText="1"/>
    </x:xf>
    <x:xf numFmtId="0" fontId="37" fillId="6" borderId="14" xfId="0" applyFont="1" applyFill="1" applyBorder="1" applyAlignment="1">
      <x:alignment horizontal="center" vertical="center" wrapText="1"/>
    </x:xf>
    <x:xf numFmtId="0" fontId="35" fillId="6" borderId="14" xfId="0" applyNumberFormat="1" applyFont="1" applyFill="1" applyBorder="1" applyAlignment="1">
      <x:alignment horizontal="center" vertical="center" wrapText="1"/>
    </x:xf>
    <x:xf numFmtId="0" fontId="37" fillId="2" borderId="14" xfId="0" applyFont="1" applyFill="1" applyBorder="1" applyAlignment="1">
      <x:alignment horizontal="center" vertical="center"/>
    </x:xf>
    <x:xf numFmtId="49" fontId="35" fillId="5" borderId="1" xfId="0" applyNumberFormat="1" applyFont="1" applyFill="1" applyBorder="1" applyAlignment="1">
      <x:alignment horizontal="center" vertical="center" wrapText="1"/>
    </x:xf>
    <x:xf numFmtId="0" fontId="38" fillId="5" borderId="1" xfId="0" applyFont="1" applyFill="1" applyBorder="1" applyAlignment="1">
      <x:alignment horizontal="center" vertical="center"/>
    </x:xf>
    <x:xf numFmtId="0" fontId="37" fillId="5" borderId="1" xfId="0" applyFont="1" applyFill="1" applyBorder="1" applyAlignment="1">
      <x:alignment horizontal="center" vertical="center"/>
    </x:xf>
    <x:xf numFmtId="184" fontId="35" fillId="5" borderId="1" xfId="0" applyNumberFormat="1" applyFont="1" applyFill="1" applyBorder="1" applyAlignment="1">
      <x:alignment horizontal="center" vertical="center" wrapText="1"/>
    </x:xf>
    <x:xf numFmtId="181" fontId="37" fillId="5" borderId="1" xfId="0" applyNumberFormat="1" applyFont="1" applyFill="1" applyBorder="1" applyAlignment="1">
      <x:alignment horizontal="center" vertical="center"/>
    </x:xf>
    <x:xf numFmtId="195" fontId="37" fillId="5" borderId="1" xfId="0" applyNumberFormat="1" applyFont="1" applyFill="1" applyBorder="1" applyAlignment="1">
      <x:alignment horizontal="center" vertical="center"/>
    </x:xf>
    <x:xf numFmtId="206" fontId="66" fillId="5" borderId="1" xfId="0" applyNumberFormat="1" applyFont="1" applyFill="1" applyBorder="1" applyAlignment="1">
      <x:alignment horizontal="center" vertical="center" wrapText="1"/>
    </x:xf>
    <x:xf numFmtId="207" fontId="37" fillId="5" borderId="1" xfId="0" applyNumberFormat="1" applyFont="1" applyFill="1" applyBorder="1" applyAlignment="1">
      <x:alignment horizontal="center" vertical="center" wrapText="1"/>
    </x:xf>
    <x:xf numFmtId="14" fontId="37" fillId="5" borderId="1" xfId="0" applyNumberFormat="1" applyFont="1" applyFill="1" applyBorder="1" applyAlignment="1">
      <x:alignment horizontal="center" vertical="center"/>
    </x:xf>
    <x:xf numFmtId="189" fontId="66" fillId="5" borderId="1" xfId="0" applyNumberFormat="1" applyFont="1" applyFill="1" applyBorder="1" applyAlignment="1">
      <x:alignment horizontal="center" vertical="center" wrapText="1"/>
    </x:xf>
    <x:xf numFmtId="187" fontId="35" fillId="5" borderId="1" xfId="0" applyNumberFormat="1" applyFont="1" applyFill="1" applyBorder="1" applyAlignment="1">
      <x:alignment horizontal="center" vertical="center" wrapText="1"/>
    </x:xf>
    <x:xf numFmtId="0" fontId="37" fillId="5" borderId="1" xfId="0" applyNumberFormat="1" applyFont="1" applyFill="1" applyBorder="1" applyAlignment="1">
      <x:alignment horizontal="center" vertical="center" wrapText="1"/>
    </x:xf>
    <x:xf numFmtId="0" fontId="37" fillId="2" borderId="1" xfId="0" applyNumberFormat="1" applyFont="1" applyFill="1" applyBorder="1" applyAlignment="1">
      <x:alignment horizontal="center" vertical="center" wrapText="1"/>
    </x:xf>
    <x:xf numFmtId="0" fontId="35" fillId="7" borderId="1" xfId="0" applyFont="1" applyFill="1" applyBorder="1" applyAlignment="1">
      <x:alignment horizontal="center" vertical="center" wrapText="1"/>
    </x:xf>
    <x:xf numFmtId="0" fontId="66" fillId="7" borderId="1" xfId="0" applyFont="1" applyFill="1" applyBorder="1" applyAlignment="1">
      <x:alignment horizontal="center" vertical="center" wrapText="1"/>
    </x:xf>
    <x:xf numFmtId="0" fontId="37" fillId="7" borderId="1" xfId="0" applyFont="1" applyFill="1" applyBorder="1" applyAlignment="1">
      <x:alignment horizontal="center" vertical="center" wrapText="1"/>
    </x:xf>
    <x:xf numFmtId="183" fontId="37" fillId="7" borderId="1" xfId="0" applyNumberFormat="1" applyFont="1" applyFill="1" applyBorder="1" applyAlignment="1">
      <x:alignment horizontal="center" vertical="center" wrapText="1"/>
    </x:xf>
    <x:xf numFmtId="183" fontId="38" fillId="7" borderId="1" xfId="0" applyNumberFormat="1" applyFont="1" applyFill="1" applyBorder="1" applyAlignment="1">
      <x:alignment horizontal="center" vertical="center" wrapText="1"/>
    </x:xf>
    <x:xf numFmtId="181" fontId="37" fillId="7" borderId="1" xfId="0" applyNumberFormat="1" applyFont="1" applyFill="1" applyBorder="1" applyAlignment="1">
      <x:alignment horizontal="center" vertical="center"/>
    </x:xf>
    <x:xf numFmtId="181" fontId="35" fillId="7" borderId="1" xfId="0" applyNumberFormat="1" applyFont="1" applyFill="1" applyBorder="1" applyAlignment="1">
      <x:alignment horizontal="center" vertical="center" wrapText="1"/>
    </x:xf>
    <x:xf numFmtId="181" fontId="35" fillId="7" borderId="1" xfId="0" applyNumberFormat="1" applyFont="1" applyFill="1" applyBorder="1" applyAlignment="1">
      <x:alignment horizontal="center" vertical="center"/>
    </x:xf>
    <x:xf numFmtId="189" fontId="35" fillId="7" borderId="1" xfId="0" applyNumberFormat="1" applyFont="1" applyFill="1" applyBorder="1" applyAlignment="1">
      <x:alignment horizontal="center" vertical="center" wrapText="1"/>
    </x:xf>
    <x:xf numFmtId="0" fontId="37" fillId="7" borderId="1" xfId="0" applyFont="1" applyFill="1" applyBorder="1" applyAlignment="1">
      <x:alignment horizontal="center" vertical="center"/>
    </x:xf>
    <x:xf numFmtId="202" fontId="35" fillId="7" borderId="1" xfId="0" applyNumberFormat="1" applyFont="1" applyFill="1" applyBorder="1" applyAlignment="1">
      <x:alignment horizontal="center" vertical="center" wrapText="1"/>
    </x:xf>
    <x:xf numFmtId="195" fontId="35" fillId="7" borderId="1" xfId="0" applyNumberFormat="1" applyFont="1" applyFill="1" applyBorder="1" applyAlignment="1">
      <x:alignment horizontal="center" vertical="center" wrapText="1"/>
    </x:xf>
    <x:xf numFmtId="206" fontId="66" fillId="7" borderId="1" xfId="0" applyNumberFormat="1" applyFont="1" applyFill="1" applyBorder="1" applyAlignment="1">
      <x:alignment horizontal="center" vertical="center" wrapText="1"/>
    </x:xf>
    <x:xf numFmtId="0" fontId="91" fillId="7" borderId="1" xfId="0" applyFont="1" applyFill="1" applyBorder="1" applyAlignment="1">
      <x:alignment horizontal="center" vertical="center" wrapText="1"/>
    </x:xf>
    <x:xf numFmtId="207" fontId="88" fillId="7" borderId="1" xfId="0" applyNumberFormat="1" applyFont="1" applyFill="1" applyBorder="1" applyAlignment="1">
      <x:alignment horizontal="center" vertical="center" wrapText="1"/>
    </x:xf>
    <x:xf numFmtId="0" fontId="87" fillId="7" borderId="1" xfId="0" applyFont="1" applyFill="1" applyBorder="1" applyAlignment="1">
      <x:alignment horizontal="center" vertical="center" wrapText="1"/>
    </x:xf>
    <x:xf numFmtId="189" fontId="66" fillId="7" borderId="1" xfId="0" applyNumberFormat="1" applyFont="1" applyFill="1" applyBorder="1" applyAlignment="1">
      <x:alignment horizontal="center" vertical="center" wrapText="1"/>
    </x:xf>
    <x:xf numFmtId="201" fontId="37" fillId="7" borderId="1" xfId="0" applyNumberFormat="1" applyFont="1" applyFill="1" applyBorder="1" applyAlignment="1">
      <x:alignment horizontal="center" vertical="center" wrapText="1"/>
    </x:xf>
    <x:xf numFmtId="187" fontId="37" fillId="7" borderId="1" xfId="0" applyNumberFormat="1" applyFont="1" applyFill="1" applyBorder="1" applyAlignment="1">
      <x:alignment horizontal="center" vertical="center" wrapText="1"/>
    </x:xf>
    <x:xf numFmtId="0" fontId="86" fillId="7" borderId="1" xfId="0" applyFont="1" applyFill="1" applyBorder="1" applyAlignment="1">
      <x:alignment horizontal="center" vertical="center" wrapText="1"/>
    </x:xf>
    <x:xf numFmtId="0" fontId="89" fillId="7" borderId="1" xfId="0" applyFont="1" applyFill="1" applyBorder="1" applyAlignment="1">
      <x:alignment horizontal="center" vertical="center" wrapText="1"/>
    </x:xf>
    <x:xf numFmtId="0" fontId="36" fillId="7" borderId="1" xfId="0" applyFont="1" applyFill="1" applyBorder="1" applyAlignment="1">
      <x:alignment horizontal="center" vertical="center"/>
    </x:xf>
    <x:xf numFmtId="0" fontId="66" fillId="7" borderId="1" xfId="0" applyFont="1" applyFill="1" applyBorder="1" applyAlignment="1">
      <x:alignment horizontal="center" vertical="center"/>
    </x:xf>
    <x:xf numFmtId="188" fontId="37" fillId="7" borderId="1" xfId="0" applyNumberFormat="1" applyFont="1" applyFill="1" applyBorder="1" applyAlignment="1">
      <x:alignment horizontal="center" vertical="center"/>
    </x:xf>
    <x:xf numFmtId="183" fontId="37" fillId="7" borderId="1" xfId="0" applyNumberFormat="1" applyFont="1" applyFill="1" applyBorder="1" applyAlignment="1">
      <x:alignment horizontal="center" vertical="center"/>
    </x:xf>
    <x:xf numFmtId="0" fontId="66" fillId="0" borderId="0" xfId="0" applyFont="1" applyFill="1" applyAlignment="1">
      <x:alignment horizontal="center" vertical="center" wrapText="1"/>
    </x:xf>
    <x:xf numFmtId="0" fontId="38" fillId="0" borderId="0" xfId="0" applyFont="1" applyFill="1" applyAlignment="1">
      <x:alignment horizontal="center" vertical="center" wrapText="1"/>
    </x:xf>
    <x:xf numFmtId="0" fontId="37" fillId="0" borderId="0" xfId="0" applyFont="1" applyFill="1" applyAlignment="1">
      <x:alignment horizontal="center" vertical="center" wrapText="1"/>
    </x:xf>
    <x:xf numFmtId="183" fontId="37" fillId="0" borderId="0" xfId="0" applyNumberFormat="1" applyFont="1" applyFill="1" applyAlignment="1">
      <x:alignment horizontal="center" vertical="center" wrapText="1"/>
    </x:xf>
    <x:xf numFmtId="183" fontId="38" fillId="0" borderId="0" xfId="0" applyNumberFormat="1" applyFont="1" applyFill="1" applyAlignment="1">
      <x:alignment horizontal="center" vertical="center" wrapText="1"/>
    </x:xf>
    <x:xf numFmtId="181" fontId="37" fillId="0" borderId="0" xfId="0" applyNumberFormat="1" applyFont="1" applyFill="1" applyAlignment="1">
      <x:alignment horizontal="center" vertical="center"/>
    </x:xf>
    <x:xf numFmtId="181" fontId="35" fillId="0" borderId="0" xfId="0" applyNumberFormat="1" applyFont="1" applyFill="1" applyAlignment="1">
      <x:alignment horizontal="center" vertical="center" wrapText="1"/>
    </x:xf>
    <x:xf numFmtId="181" fontId="35" fillId="0" borderId="0" xfId="0" applyNumberFormat="1" applyFont="1" applyFill="1" applyAlignment="1">
      <x:alignment horizontal="center" vertical="center"/>
    </x:xf>
    <x:xf numFmtId="189" fontId="35" fillId="0" borderId="0" xfId="0" applyNumberFormat="1" applyFont="1" applyFill="1" applyAlignment="1">
      <x:alignment horizontal="center" vertical="center" wrapText="1"/>
    </x:xf>
    <x:xf numFmtId="0" fontId="35" fillId="0" borderId="0" xfId="0" applyFont="1" applyFill="1" applyAlignment="1">
      <x:alignment horizontal="center" vertical="center"/>
    </x:xf>
    <x:xf numFmtId="202" fontId="35" fillId="0" borderId="0" xfId="0" applyNumberFormat="1" applyFont="1" applyFill="1" applyAlignment="1">
      <x:alignment horizontal="center" vertical="center" wrapText="1"/>
    </x:xf>
    <x:xf numFmtId="195" fontId="35" fillId="0" borderId="0" xfId="0" applyNumberFormat="1" applyFont="1" applyFill="1" applyAlignment="1">
      <x:alignment horizontal="center" vertical="center" wrapText="1"/>
    </x:xf>
    <x:xf numFmtId="206" fontId="66" fillId="0" borderId="0" xfId="0" applyNumberFormat="1" applyFont="1" applyFill="1" applyAlignment="1">
      <x:alignment horizontal="center" vertical="center" wrapText="1"/>
    </x:xf>
    <x:xf numFmtId="0" fontId="91" fillId="0" borderId="0" xfId="0" applyFont="1" applyFill="1" applyAlignment="1">
      <x:alignment horizontal="center" vertical="center" wrapText="1"/>
    </x:xf>
    <x:xf numFmtId="207" fontId="88" fillId="0" borderId="0" xfId="0" applyNumberFormat="1" applyFont="1" applyFill="1" applyAlignment="1">
      <x:alignment horizontal="center" vertical="center" wrapText="1"/>
    </x:xf>
    <x:xf numFmtId="0" fontId="87" fillId="0" borderId="0" xfId="0" applyFont="1" applyFill="1" applyAlignment="1">
      <x:alignment horizontal="center" vertical="center" wrapText="1"/>
    </x:xf>
    <x:xf numFmtId="189" fontId="66" fillId="0" borderId="0" xfId="0" applyNumberFormat="1" applyFont="1" applyFill="1" applyAlignment="1">
      <x:alignment horizontal="center" vertical="center" wrapText="1"/>
    </x:xf>
    <x:xf numFmtId="201" fontId="37" fillId="0" borderId="0" xfId="0" applyNumberFormat="1" applyFont="1" applyFill="1" applyAlignment="1">
      <x:alignment horizontal="center" vertical="center" wrapText="1"/>
    </x:xf>
    <x:xf numFmtId="187" fontId="37" fillId="0" borderId="0" xfId="0" applyNumberFormat="1" applyFont="1" applyFill="1" applyAlignment="1">
      <x:alignment horizontal="center" vertical="center" wrapText="1"/>
    </x:xf>
    <x:xf numFmtId="187" fontId="35" fillId="0" borderId="0" xfId="0" applyNumberFormat="1" applyFont="1" applyFill="1" applyAlignment="1">
      <x:alignment horizontal="center" vertical="center" wrapText="1"/>
    </x:xf>
    <x:xf numFmtId="0" fontId="86" fillId="0" borderId="0" xfId="0" applyFont="1" applyFill="1" applyAlignment="1">
      <x:alignment horizontal="center" vertical="center" wrapText="1"/>
    </x:xf>
    <x:xf numFmtId="0" fontId="89" fillId="0" borderId="0" xfId="0" applyFont="1" applyFill="1" applyAlignment="1">
      <x:alignment horizontal="center" vertical="center" wrapText="1"/>
    </x:xf>
    <x:xf numFmtId="0" fontId="35" fillId="0" borderId="0" xfId="0" applyNumberFormat="1" applyFont="1" applyFill="1" applyAlignment="1">
      <x:alignment horizontal="center" vertical="center" wrapText="1"/>
    </x:xf>
    <x:xf numFmtId="0" fontId="36" fillId="0" borderId="0" xfId="0" applyFont="1" applyFill="1" applyAlignment="1">
      <x:alignment horizontal="center" vertical="center"/>
    </x:xf>
    <x:xf numFmtId="0" fontId="66" fillId="0" borderId="0" xfId="0" applyFont="1" applyFill="1" applyAlignment="1">
      <x:alignment horizontal="center" vertical="center"/>
    </x:xf>
    <x:xf numFmtId="188" fontId="35" fillId="0" borderId="0" xfId="0" applyNumberFormat="1" applyFont="1" applyFill="1" applyAlignment="1">
      <x:alignment horizontal="center" vertical="center"/>
    </x:xf>
    <x:xf numFmtId="183" fontId="35" fillId="0" borderId="0" xfId="0" applyNumberFormat="1" applyFont="1" applyFill="1" applyAlignment="1">
      <x:alignment horizontal="center" vertical="center"/>
    </x:xf>
    <x:xf numFmtId="0" fontId="37" fillId="0" borderId="0" xfId="0" applyFont="1" applyFill="1" applyAlignment="1">
      <x:alignment horizontal="center" vertical="center"/>
    </x:xf>
    <x:xf numFmtId="0" fontId="92" fillId="0" borderId="0" xfId="0" applyFont="1">
      <x:alignment vertical="center"/>
    </x:xf>
    <x:xf numFmtId="0" fontId="82" fillId="0" borderId="0" xfId="0" applyFont="1" applyFill="1">
      <x:alignment vertical="center"/>
    </x:xf>
    <x:xf numFmtId="0" fontId="93" fillId="0" borderId="0" xfId="0" applyFont="1" applyAlignment="1">
      <x:alignment horizontal="center" vertical="center"/>
    </x:xf>
    <x:xf numFmtId="0" fontId="94" fillId="0" borderId="0" xfId="0" applyFont="1">
      <x:alignment vertical="center"/>
    </x:xf>
    <x:xf numFmtId="9" fontId="68" fillId="0" borderId="0" xfId="3" applyFont="1">
      <x:alignment vertical="center"/>
    </x:xf>
    <x:xf numFmtId="0" fontId="84" fillId="0" borderId="0" xfId="0" applyFont="1" applyAlignment="1">
      <x:alignment horizontal="center" vertical="center"/>
    </x:xf>
    <x:xf numFmtId="210" fontId="0" fillId="0" borderId="0" xfId="0" applyNumberFormat="1" applyAlignment="1">
      <x:alignment horizontal="center" vertical="center"/>
    </x:xf>
    <x:xf numFmtId="43" fontId="0" fillId="0" borderId="0" xfId="0" applyNumberFormat="1" applyAlignment="1">
      <x:alignment horizontal="center" vertical="center"/>
    </x:xf>
    <x:xf numFmtId="0" fontId="8" fillId="0" borderId="19" xfId="62" applyBorder="1" applyAlignment="1">
      <x:alignment horizontal="center" vertical="center"/>
    </x:xf>
  </x:cellXfs>
  <x:cellStyles count="66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一般" xfId="49"/>
    <x:cellStyle name="Normal 4 2" xfId="50"/>
    <x:cellStyle name="常规 2" xfId="51"/>
    <x:cellStyle name="常规_排模表" xfId="52"/>
    <x:cellStyle name="常规 4" xfId="53"/>
    <x:cellStyle name="常规_Sheet1" xfId="54"/>
    <x:cellStyle name="常规_SI-20110623报关单证" xfId="55"/>
    <x:cellStyle name="常规_复件 (2) 模具表" xfId="56"/>
    <x:cellStyle name="常规_内部明细" xfId="57"/>
    <x:cellStyle name="样式 1_st shipment docs xls-ff (2)" xfId="58"/>
    <x:cellStyle name="常规 1656" xfId="59"/>
    <x:cellStyle name="常规 2_报关资料与ASN" xfId="60"/>
    <x:cellStyle name="常规 3" xfId="61"/>
    <x:cellStyle name="常规_装箱单" xfId="62"/>
    <x:cellStyle name="常规_LBD-20121130-DA211002 深圳机场-报关单证" xfId="63"/>
    <x:cellStyle name="常规 2 2" xfId="64"/>
    <x:cellStyle name="常规_12050701" xfId="65"/>
  </x:cellStyles>
  <x:dxfs count="3">
    <x:dxf>
      <x:font>
        <x:color indexed="9"/>
      </x:font>
    </x:dxf>
    <x:dxf>
      <x:fill>
        <x:patternFill>
          <x:bgColor rgb="FFFF9900"/>
        </x:patternFill>
      </x:fill>
    </x:dxf>
    <x:dxf>
      <x:font>
        <x:b/>
        <x:color indexed="9"/>
      </x:font>
      <x:fill>
        <x:patternFill>
          <x:bgColor indexed="1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049fe2adff40bd" /><Relationship Type="http://schemas.openxmlformats.org/officeDocument/2006/relationships/theme" Target="/xl/theme/theme1.xml" Id="R8e465cd2c5fd4bef" /><Relationship Type="http://schemas.openxmlformats.org/officeDocument/2006/relationships/sheetMetadata" Target="/xl/metadata1.xml" Id="Ra1cecd40124649f5" /><Relationship Type="http://schemas.openxmlformats.org/officeDocument/2006/relationships/sharedStrings" Target="/xl/sharedStrings.xml" Id="R9abfc7ef9c664311" /><Relationship Type="http://schemas.openxmlformats.org/officeDocument/2006/relationships/worksheet" Target="/xl/worksheets/sheet1.xml" Id="R4c8553e2d8e34178" /><Relationship Type="http://schemas.openxmlformats.org/officeDocument/2006/relationships/worksheet" Target="/xl/worksheets/sheet2.xml" Id="R292fc062952a4325" /><Relationship Type="http://schemas.openxmlformats.org/officeDocument/2006/relationships/worksheet" Target="/xl/worksheets/sheet3.xml" Id="Rb084b4670d1f4fa2" /><Relationship Type="http://schemas.openxmlformats.org/officeDocument/2006/relationships/worksheet" Target="/xl/worksheets/sheet4.xml" Id="Re11b7ab3b0464555" /><Relationship Type="http://schemas.openxmlformats.org/officeDocument/2006/relationships/worksheet" Target="/xl/worksheets/sheet5.xml" Id="R5167fd3fbad64b7a" /><Relationship Type="http://schemas.openxmlformats.org/officeDocument/2006/relationships/worksheet" Target="/xl/worksheets/sheet6.xml" Id="R35e9ac507e4e4249" /><Relationship Type="http://schemas.openxmlformats.org/officeDocument/2006/relationships/worksheet" Target="/xl/worksheets/sheet7.xml" Id="R1e81370d58e348f5" /><Relationship Type="http://schemas.openxmlformats.org/officeDocument/2006/relationships/worksheet" Target="/xl/worksheets/sheet8.xml" Id="R2d5bf1ca20924284" /><Relationship Type="http://schemas.openxmlformats.org/officeDocument/2006/relationships/worksheet" Target="/xl/worksheets/sheet9.xml" Id="Rc3a39c738cfa4fca" /><Relationship Type="http://schemas.openxmlformats.org/officeDocument/2006/relationships/worksheet" Target="/xl/worksheets/sheet10.xml" Id="R1713c64de73d43af" /><Relationship Type="http://schemas.openxmlformats.org/officeDocument/2006/relationships/worksheet" Target="/xl/worksheets/sheet11.xml" Id="Re587e1d20d8145b8" /><Relationship Type="http://schemas.openxmlformats.org/officeDocument/2006/relationships/worksheet" Target="/xl/worksheets/sheet12.xml" Id="Re633c15ddecf454b" /><Relationship Type="http://schemas.openxmlformats.org/officeDocument/2006/relationships/worksheet" Target="/xl/worksheets/sheet13.xml" Id="R9d612c36943a4840" /><Relationship Type="http://schemas.openxmlformats.org/officeDocument/2006/relationships/worksheet" Target="/xl/worksheets/sheet14.xml" Id="R04c18ba6b58f4fbc" /><Relationship Type="http://schemas.openxmlformats.org/officeDocument/2006/relationships/worksheet" Target="/xl/worksheets/sheet15.xml" Id="Rbec60939a33242a5" /><Relationship Type="http://schemas.microsoft.com/office/2017/10/relationships/person" Target="/xl/persons/person.xml" Id="Rd1e03d633e744cd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7288479cbab468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46db9ec03b6f45c5" /></Relationships>
</file>

<file path=xl/drawings/drawing1.xml><?xml version="1.0" encoding="utf-8"?>
<xdr:wsDr xmlns:xdr="http://schemas.openxmlformats.org/drawingml/2006/spreadsheetDrawing">
  <xdr:oneCellAnchor>
    <xdr:from>
      <xdr:col>3</xdr:col>
      <xdr:colOff>914400</xdr:colOff>
      <xdr:row>396</xdr:row>
      <xdr:rowOff>0</xdr:rowOff>
    </xdr:from>
    <xdr:ext cx="2927" cy="215900"/>
    <xdr:pic>
      <xdr:nvPicPr>
        <xdr:cNvPr id="1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914400</xdr:colOff>
      <xdr:row>396</xdr:row>
      <xdr:rowOff>0</xdr:rowOff>
    </xdr:from>
    <xdr:ext cx="2927" cy="215900"/>
    <xdr:pic>
      <xdr:nvPicPr>
        <xdr:cNvPr id="2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914400</xdr:colOff>
      <xdr:row>875</xdr:row>
      <xdr:rowOff>0</xdr:rowOff>
    </xdr:from>
    <xdr:ext cx="2927" cy="215900"/>
    <xdr:pic>
      <xdr:nvPicPr>
        <xdr:cNvPr id="3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914400</xdr:colOff>
      <xdr:row>875</xdr:row>
      <xdr:rowOff>0</xdr:rowOff>
    </xdr:from>
    <xdr:ext cx="2927" cy="215900"/>
    <xdr:pic>
      <xdr:nvPicPr>
        <xdr:cNvPr id="4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914400</xdr:colOff>
      <xdr:row>642</xdr:row>
      <xdr:rowOff>0</xdr:rowOff>
    </xdr:from>
    <xdr:ext cx="2927" cy="215900"/>
    <xdr:pic>
      <xdr:nvPicPr>
        <xdr:cNvPr id="5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914400</xdr:colOff>
      <xdr:row>642</xdr:row>
      <xdr:rowOff>0</xdr:rowOff>
    </xdr:from>
    <xdr:ext cx="2927" cy="215900"/>
    <xdr:pic>
      <xdr:nvPicPr>
        <xdr:cNvPr id="6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914400</xdr:colOff>
      <xdr:row>211</xdr:row>
      <xdr:rowOff>0</xdr:rowOff>
    </xdr:from>
    <xdr:ext cx="2927" cy="215900"/>
    <xdr:pic>
      <xdr:nvPicPr>
        <xdr:cNvPr id="7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914400</xdr:colOff>
      <xdr:row>211</xdr:row>
      <xdr:rowOff>0</xdr:rowOff>
    </xdr:from>
    <xdr:ext cx="2927" cy="215900"/>
    <xdr:pic>
      <xdr:nvPicPr>
        <xdr:cNvPr id="8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914400</xdr:colOff>
      <xdr:row>45</xdr:row>
      <xdr:rowOff>0</xdr:rowOff>
    </xdr:from>
    <xdr:ext cx="2927" cy="215900"/>
    <xdr:pic>
      <xdr:nvPicPr>
        <xdr:cNvPr id="9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914400</xdr:colOff>
      <xdr:row>877</xdr:row>
      <xdr:rowOff>0</xdr:rowOff>
    </xdr:from>
    <xdr:ext cx="2927" cy="215900"/>
    <xdr:pic>
      <xdr:nvPicPr>
        <xdr:cNvPr id="10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914400</xdr:colOff>
      <xdr:row>877</xdr:row>
      <xdr:rowOff>0</xdr:rowOff>
    </xdr:from>
    <xdr:ext cx="2927" cy="215900"/>
    <xdr:pic>
      <xdr:nvPicPr>
        <xdr:cNvPr id="11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914400</xdr:colOff>
      <xdr:row>531</xdr:row>
      <xdr:rowOff>0</xdr:rowOff>
    </xdr:from>
    <xdr:ext cx="2927" cy="215900"/>
    <xdr:pic>
      <xdr:nvPicPr>
        <xdr:cNvPr id="12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914400</xdr:colOff>
      <xdr:row>531</xdr:row>
      <xdr:rowOff>0</xdr:rowOff>
    </xdr:from>
    <xdr:ext cx="2927" cy="215900"/>
    <xdr:pic>
      <xdr:nvPicPr>
        <xdr:cNvPr id="13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914400</xdr:colOff>
      <xdr:row>436</xdr:row>
      <xdr:rowOff>0</xdr:rowOff>
    </xdr:from>
    <xdr:ext cx="2927" cy="215900"/>
    <xdr:pic>
      <xdr:nvPicPr>
        <xdr:cNvPr id="14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914400</xdr:colOff>
      <xdr:row>887</xdr:row>
      <xdr:rowOff>0</xdr:rowOff>
    </xdr:from>
    <xdr:ext cx="2927" cy="215900"/>
    <xdr:pic>
      <xdr:nvPicPr>
        <xdr:cNvPr id="15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914400</xdr:colOff>
      <xdr:row>887</xdr:row>
      <xdr:rowOff>0</xdr:rowOff>
    </xdr:from>
    <xdr:ext cx="2927" cy="215900"/>
    <xdr:pic>
      <xdr:nvPicPr>
        <xdr:cNvPr id="16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914400</xdr:colOff>
      <xdr:row>678</xdr:row>
      <xdr:rowOff>0</xdr:rowOff>
    </xdr:from>
    <xdr:ext cx="2927" cy="215900"/>
    <xdr:pic>
      <xdr:nvPicPr>
        <xdr:cNvPr id="17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914400</xdr:colOff>
      <xdr:row>678</xdr:row>
      <xdr:rowOff>0</xdr:rowOff>
    </xdr:from>
    <xdr:ext cx="2927" cy="215900"/>
    <xdr:pic>
      <xdr:nvPicPr>
        <xdr:cNvPr id="18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914400</xdr:colOff>
      <xdr:row>471</xdr:row>
      <xdr:rowOff>0</xdr:rowOff>
    </xdr:from>
    <xdr:ext cx="2927" cy="215900"/>
    <xdr:pic>
      <xdr:nvPicPr>
        <xdr:cNvPr id="19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914400</xdr:colOff>
      <xdr:row>471</xdr:row>
      <xdr:rowOff>0</xdr:rowOff>
    </xdr:from>
    <xdr:ext cx="2927" cy="215900"/>
    <xdr:pic>
      <xdr:nvPicPr>
        <xdr:cNvPr id="20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914400</xdr:colOff>
      <xdr:row>229</xdr:row>
      <xdr:rowOff>0</xdr:rowOff>
    </xdr:from>
    <xdr:ext cx="2927" cy="215900"/>
    <xdr:pic>
      <xdr:nvPicPr>
        <xdr:cNvPr id="21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914400</xdr:colOff>
      <xdr:row>228</xdr:row>
      <xdr:rowOff>0</xdr:rowOff>
    </xdr:from>
    <xdr:ext cx="2927" cy="215900"/>
    <xdr:pic>
      <xdr:nvPicPr>
        <xdr:cNvPr id="22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914400</xdr:colOff>
      <xdr:row>755</xdr:row>
      <xdr:rowOff>0</xdr:rowOff>
    </xdr:from>
    <xdr:ext cx="2927" cy="215900"/>
    <xdr:pic>
      <xdr:nvPicPr>
        <xdr:cNvPr id="23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914400</xdr:colOff>
      <xdr:row>755</xdr:row>
      <xdr:rowOff>0</xdr:rowOff>
    </xdr:from>
    <xdr:ext cx="2927" cy="215900"/>
    <xdr:pic>
      <xdr:nvPicPr>
        <xdr:cNvPr id="24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914400</xdr:colOff>
      <xdr:row>559</xdr:row>
      <xdr:rowOff>0</xdr:rowOff>
    </xdr:from>
    <xdr:ext cx="2927" cy="215900"/>
    <xdr:pic>
      <xdr:nvPicPr>
        <xdr:cNvPr id="25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914400</xdr:colOff>
      <xdr:row>559</xdr:row>
      <xdr:rowOff>0</xdr:rowOff>
    </xdr:from>
    <xdr:ext cx="2927" cy="215900"/>
    <xdr:pic>
      <xdr:nvPicPr>
        <xdr:cNvPr id="26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914400</xdr:colOff>
      <xdr:row>894</xdr:row>
      <xdr:rowOff>0</xdr:rowOff>
    </xdr:from>
    <xdr:ext cx="2927" cy="215900"/>
    <xdr:pic>
      <xdr:nvPicPr>
        <xdr:cNvPr id="27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914400</xdr:colOff>
      <xdr:row>894</xdr:row>
      <xdr:rowOff>0</xdr:rowOff>
    </xdr:from>
    <xdr:ext cx="2927" cy="215900"/>
    <xdr:pic>
      <xdr:nvPicPr>
        <xdr:cNvPr id="28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914400</xdr:colOff>
      <xdr:row>494</xdr:row>
      <xdr:rowOff>0</xdr:rowOff>
    </xdr:from>
    <xdr:ext cx="2927" cy="215900"/>
    <xdr:pic>
      <xdr:nvPicPr>
        <xdr:cNvPr id="29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914400</xdr:colOff>
      <xdr:row>494</xdr:row>
      <xdr:rowOff>0</xdr:rowOff>
    </xdr:from>
    <xdr:ext cx="2927" cy="215900"/>
    <xdr:pic>
      <xdr:nvPicPr>
        <xdr:cNvPr id="30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914400</xdr:colOff>
      <xdr:row>461</xdr:row>
      <xdr:rowOff>0</xdr:rowOff>
    </xdr:from>
    <xdr:ext cx="2927" cy="215900"/>
    <xdr:pic>
      <xdr:nvPicPr>
        <xdr:cNvPr id="31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914400</xdr:colOff>
      <xdr:row>461</xdr:row>
      <xdr:rowOff>0</xdr:rowOff>
    </xdr:from>
    <xdr:ext cx="2927" cy="215900"/>
    <xdr:pic>
      <xdr:nvPicPr>
        <xdr:cNvPr id="32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914400</xdr:colOff>
      <xdr:row>515</xdr:row>
      <xdr:rowOff>0</xdr:rowOff>
    </xdr:from>
    <xdr:ext cx="2927" cy="215900"/>
    <xdr:pic>
      <xdr:nvPicPr>
        <xdr:cNvPr id="33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914400</xdr:colOff>
      <xdr:row>515</xdr:row>
      <xdr:rowOff>0</xdr:rowOff>
    </xdr:from>
    <xdr:ext cx="2927" cy="215900"/>
    <xdr:pic>
      <xdr:nvPicPr>
        <xdr:cNvPr id="34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914400</xdr:colOff>
      <xdr:row>564</xdr:row>
      <xdr:rowOff>0</xdr:rowOff>
    </xdr:from>
    <xdr:ext cx="2927" cy="215900"/>
    <xdr:pic>
      <xdr:nvPicPr>
        <xdr:cNvPr id="35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914400</xdr:colOff>
      <xdr:row>564</xdr:row>
      <xdr:rowOff>0</xdr:rowOff>
    </xdr:from>
    <xdr:ext cx="2927" cy="215900"/>
    <xdr:pic>
      <xdr:nvPicPr>
        <xdr:cNvPr id="36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914400</xdr:colOff>
      <xdr:row>229</xdr:row>
      <xdr:rowOff>0</xdr:rowOff>
    </xdr:from>
    <xdr:ext cx="2927" cy="215900"/>
    <xdr:pic>
      <xdr:nvPicPr>
        <xdr:cNvPr id="37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914400</xdr:colOff>
      <xdr:row>503</xdr:row>
      <xdr:rowOff>0</xdr:rowOff>
    </xdr:from>
    <xdr:ext cx="2927" cy="215900"/>
    <xdr:pic>
      <xdr:nvPicPr>
        <xdr:cNvPr id="38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914400</xdr:colOff>
      <xdr:row>503</xdr:row>
      <xdr:rowOff>0</xdr:rowOff>
    </xdr:from>
    <xdr:ext cx="2927" cy="215900"/>
    <xdr:pic>
      <xdr:nvPicPr>
        <xdr:cNvPr id="39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914400</xdr:colOff>
      <xdr:row>748</xdr:row>
      <xdr:rowOff>0</xdr:rowOff>
    </xdr:from>
    <xdr:ext cx="2927" cy="215900"/>
    <xdr:pic>
      <xdr:nvPicPr>
        <xdr:cNvPr id="40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914400</xdr:colOff>
      <xdr:row>748</xdr:row>
      <xdr:rowOff>0</xdr:rowOff>
    </xdr:from>
    <xdr:ext cx="2927" cy="215900"/>
    <xdr:pic>
      <xdr:nvPicPr>
        <xdr:cNvPr id="41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914400</xdr:colOff>
      <xdr:row>139</xdr:row>
      <xdr:rowOff>0</xdr:rowOff>
    </xdr:from>
    <xdr:ext cx="2927" cy="215900"/>
    <xdr:pic>
      <xdr:nvPicPr>
        <xdr:cNvPr id="42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914400</xdr:colOff>
      <xdr:row>139</xdr:row>
      <xdr:rowOff>0</xdr:rowOff>
    </xdr:from>
    <xdr:ext cx="2927" cy="215900"/>
    <xdr:pic>
      <xdr:nvPicPr>
        <xdr:cNvPr id="43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914400</xdr:colOff>
      <xdr:row>705</xdr:row>
      <xdr:rowOff>0</xdr:rowOff>
    </xdr:from>
    <xdr:ext cx="2927" cy="215900"/>
    <xdr:pic>
      <xdr:nvPicPr>
        <xdr:cNvPr id="44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914400</xdr:colOff>
      <xdr:row>705</xdr:row>
      <xdr:rowOff>0</xdr:rowOff>
    </xdr:from>
    <xdr:ext cx="2927" cy="215900"/>
    <xdr:pic>
      <xdr:nvPicPr>
        <xdr:cNvPr id="45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914400</xdr:colOff>
      <xdr:row>362</xdr:row>
      <xdr:rowOff>0</xdr:rowOff>
    </xdr:from>
    <xdr:ext cx="2927" cy="215900"/>
    <xdr:pic>
      <xdr:nvPicPr>
        <xdr:cNvPr id="46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914400</xdr:colOff>
      <xdr:row>362</xdr:row>
      <xdr:rowOff>0</xdr:rowOff>
    </xdr:from>
    <xdr:ext cx="2927" cy="215900"/>
    <xdr:pic>
      <xdr:nvPicPr>
        <xdr:cNvPr id="47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914400</xdr:colOff>
      <xdr:row>896</xdr:row>
      <xdr:rowOff>0</xdr:rowOff>
    </xdr:from>
    <xdr:ext cx="2927" cy="215900"/>
    <xdr:pic>
      <xdr:nvPicPr>
        <xdr:cNvPr id="48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914400</xdr:colOff>
      <xdr:row>896</xdr:row>
      <xdr:rowOff>0</xdr:rowOff>
    </xdr:from>
    <xdr:ext cx="2927" cy="215900"/>
    <xdr:pic>
      <xdr:nvPicPr>
        <xdr:cNvPr id="49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914400</xdr:colOff>
      <xdr:row>541</xdr:row>
      <xdr:rowOff>0</xdr:rowOff>
    </xdr:from>
    <xdr:ext cx="2927" cy="215900"/>
    <xdr:pic>
      <xdr:nvPicPr>
        <xdr:cNvPr id="50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914400</xdr:colOff>
      <xdr:row>541</xdr:row>
      <xdr:rowOff>0</xdr:rowOff>
    </xdr:from>
    <xdr:ext cx="2927" cy="215900"/>
    <xdr:pic>
      <xdr:nvPicPr>
        <xdr:cNvPr id="51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914400</xdr:colOff>
      <xdr:row>511</xdr:row>
      <xdr:rowOff>0</xdr:rowOff>
    </xdr:from>
    <xdr:ext cx="2927" cy="215900"/>
    <xdr:pic>
      <xdr:nvPicPr>
        <xdr:cNvPr id="52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914400</xdr:colOff>
      <xdr:row>511</xdr:row>
      <xdr:rowOff>0</xdr:rowOff>
    </xdr:from>
    <xdr:ext cx="2927" cy="215900"/>
    <xdr:pic>
      <xdr:nvPicPr>
        <xdr:cNvPr id="53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914400</xdr:colOff>
      <xdr:row>354</xdr:row>
      <xdr:rowOff>0</xdr:rowOff>
    </xdr:from>
    <xdr:ext cx="2927" cy="215900"/>
    <xdr:pic>
      <xdr:nvPicPr>
        <xdr:cNvPr id="54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914400</xdr:colOff>
      <xdr:row>354</xdr:row>
      <xdr:rowOff>0</xdr:rowOff>
    </xdr:from>
    <xdr:ext cx="2927" cy="215900"/>
    <xdr:pic>
      <xdr:nvPicPr>
        <xdr:cNvPr id="55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88479cba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4</xdr:col>
      <xdr:colOff>914400</xdr:colOff>
      <xdr:row>47</xdr:row>
      <xdr:rowOff>0</xdr:rowOff>
    </xdr:from>
    <xdr:ext cx="2927" cy="215900"/>
    <xdr:pic>
      <xdr:nvPicPr>
        <xdr:cNvPr id="1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db9ec03b6f45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914400</xdr:colOff>
      <xdr:row>47</xdr:row>
      <xdr:rowOff>0</xdr:rowOff>
    </xdr:from>
    <xdr:ext cx="2927" cy="215900"/>
    <xdr:pic>
      <xdr:nvPicPr>
        <xdr:cNvPr id="2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db9ec03b6f45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persons/person.xml><?xml version="1.0" encoding="utf-8"?>
<xltc:personList xmlns:xltc="http://schemas.microsoft.com/office/spreadsheetml/2018/threadedcomments">
  <xltc:person displayName="87050" id="{DF9125B3-DF77-55D4-7CE1-1ECA20CFF05C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58e12f0a99554c0d" /><Relationship Type="http://schemas.openxmlformats.org/officeDocument/2006/relationships/vmlDrawing" Target="/xl/drawings/vmldrawing.vml" Id="R3012e80d4b6941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8a05c830b96642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0aa5b8b539db4c10" /></Relationships>
</file>

<file path=xl/worksheets/sheet1.xml><?xml version="1.0" encoding="utf-8"?>
<x:worksheet xmlns:x="http://schemas.openxmlformats.org/spreadsheetml/2006/main">
  <x:sheetPr>
    <x:tabColor rgb="FFFFC000"/>
  </x:sheetPr>
  <x:sheetFormatPr defaultColWidth="8.616666793823242" defaultRowHeight="13.5"/>
  <x:cols>
    <x:col min="1" max="1" width="5.483333110809326" style="407" customWidth="1"/>
    <x:col min="2" max="2" width="15.758333206176758" style="407" customWidth="1"/>
    <x:col min="3" max="3" width="18.299999237060547" style="407" customWidth="1"/>
    <x:col min="4" max="16384" width="8.616666793823242" style="407" customWidth="0"/>
  </x:cols>
  <x:sheetData>
    <x:row r="3">
      <x:c r="A3" s="407" t="s">
        <x:v>0</x:v>
      </x:c>
      <x:c r="B3" s="407" t="s">
        <x:v>1</x:v>
      </x:c>
      <x:c r="C3" s="407" t="s">
        <x:v>2</x:v>
      </x:c>
    </x:row>
    <x:row r="4" ht="22" customHeight="1">
      <x:c r="B4" s="407" t="s">
        <x:v>3</x:v>
      </x:c>
      <x:c r="C4" s="985" t="n">
        <x:f>SUMIFS(WHSU6439229!$AA$4:$AA$1000,WHSU6439229!$I$4:$I$1000,B4)</x:f>
        <x:v>0</x:v>
      </x:c>
    </x:row>
    <x:row r="5" ht="22" customHeight="1">
      <x:c r="B5" s="407" t="s">
        <x:v>4</x:v>
      </x:c>
      <x:c r="C5" s="985" t="n">
        <x:f>SUMIFS(WHSU6439229!$AA$4:$AA$1000,WHSU6439229!$I$4:$I$1000,B5)</x:f>
        <x:v>0</x:v>
      </x:c>
    </x:row>
    <x:row r="6" ht="22" customHeight="1">
      <x:c r="B6" s="407" t="s">
        <x:v>5</x:v>
      </x:c>
      <x:c r="C6" s="985" t="n">
        <x:f>SUMIFS(WHSU6439229!$AA$4:$AA$1000,WHSU6439229!$I$4:$I$1000,B6)</x:f>
        <x:v>0</x:v>
      </x:c>
    </x:row>
    <x:row r="7" ht="22" customHeight="1">
      <x:c r="B7" s="407" t="s">
        <x:v>6</x:v>
      </x:c>
      <x:c r="C7" s="985" t="n">
        <x:f>SUMIFS(WHSU6439229!$AA$4:$AA$1000,WHSU6439229!$I$4:$I$1000,B7)</x:f>
        <x:v>0</x:v>
      </x:c>
    </x:row>
    <x:row r="8" ht="22" customHeight="1">
      <x:c r="B8" s="407" t="s">
        <x:v>7</x:v>
      </x:c>
      <x:c r="C8" s="985" t="n">
        <x:f>SUMIFS(WHSU6439229!$AA$4:$AA$1000,WHSU6439229!$I$4:$I$1000,B8)</x:f>
        <x:v>0</x:v>
      </x:c>
    </x:row>
    <x:row r="9" ht="22" customHeight="1">
      <x:c r="B9" s="407" t="s">
        <x:v>8</x:v>
      </x:c>
      <x:c r="C9" s="985" t="n">
        <x:f>SUMIFS(WHSU6439229!$AA$4:$AA$1000,WHSU6439229!$I$4:$I$1000,B9)</x:f>
        <x:v>0</x:v>
      </x:c>
    </x:row>
    <x:row r="10" ht="22" customHeight="1">
      <x:c r="B10" s="407" t="s">
        <x:v>9</x:v>
      </x:c>
      <x:c r="C10" s="985" t="n">
        <x:f>SUMIFS(WHSU6439229!$AA$4:$AA$1000,WHSU6439229!$I$4:$I$1000,B10)</x:f>
        <x:v>0</x:v>
      </x:c>
    </x:row>
    <x:row r="11" ht="22" customHeight="1">
      <x:c r="B11" s="407" t="s">
        <x:v>10</x:v>
      </x:c>
      <x:c r="C11" s="985" t="n">
        <x:f>SUMIFS(WHSU6439229!$AA$4:$AA$1000,WHSU6439229!$I$4:$I$1000,B11)</x:f>
        <x:v>0</x:v>
      </x:c>
    </x:row>
    <x:row r="12" ht="22" customHeight="1">
      <x:c r="B12" s="407" t="s">
        <x:v>11</x:v>
      </x:c>
      <x:c r="C12" s="985" t="n">
        <x:f>SUMIFS(WHSU6439229!$AA$4:$AA$1000,WHSU6439229!$I$4:$I$1000,B12)</x:f>
        <x:v>0</x:v>
      </x:c>
    </x:row>
    <x:row r="13" ht="22" customHeight="1">
      <x:c r="B13" s="407" t="s">
        <x:v>12</x:v>
      </x:c>
      <x:c r="C13" s="985" t="n">
        <x:f>SUMIFS(WHSU6439229!$AA$4:$AA$1000,WHSU6439229!$I$4:$I$1000,B13)</x:f>
        <x:v>0</x:v>
      </x:c>
    </x:row>
    <x:row r="14" ht="22" customHeight="1">
      <x:c r="B14" s="407" t="s">
        <x:v>13</x:v>
      </x:c>
      <x:c r="C14" s="985" t="n">
        <x:f>SUMIFS(WHSU6439229!$AA$4:$AA$1000,WHSU6439229!$I$4:$I$1000,B14)</x:f>
        <x:v>0</x:v>
      </x:c>
    </x:row>
    <x:row r="15" ht="22" customHeight="1">
      <x:c r="B15" s="407" t="s">
        <x:v>14</x:v>
      </x:c>
      <x:c r="C15" s="985" t="n">
        <x:f>SUMIFS(WHSU6439229!$AA$4:$AA$1000,WHSU6439229!$I$4:$I$1000,B15)</x:f>
        <x:v>0</x:v>
      </x:c>
    </x:row>
    <x:row r="16" ht="22" customHeight="1">
      <x:c r="B16" s="407" t="s">
        <x:v>15</x:v>
      </x:c>
      <x:c r="C16" s="985" t="n">
        <x:f>SUMIFS(WHSU6439229!$AA$4:$AA$1000,WHSU6439229!$I$4:$I$1000,B16)</x:f>
        <x:v>0</x:v>
      </x:c>
    </x:row>
    <x:row r="17" ht="22" customHeight="1">
      <x:c r="B17" s="407" t="s">
        <x:v>16</x:v>
      </x:c>
      <x:c r="C17" s="985" t="n">
        <x:f>SUMIFS(WHSU6439229!$AA$4:$AA$1000,WHSU6439229!$I$4:$I$1000,B17)</x:f>
        <x:v>0</x:v>
      </x:c>
    </x:row>
    <x:row r="18" ht="22" customHeight="1">
      <x:c r="B18" s="407" t="s">
        <x:v>17</x:v>
      </x:c>
      <x:c r="C18" s="985" t="n">
        <x:f>SUMIFS(WHSU6439229!$AA$4:$AA$1000,WHSU6439229!$I$4:$I$1000,B18)</x:f>
        <x:v>0</x:v>
      </x:c>
    </x:row>
    <x:row r="19" ht="23" customHeight="1">
      <x:c r="C19" s="985"/>
    </x:row>
    <x:row r="20" ht="23" customHeight="1">
      <x:c r="C20" s="985"/>
    </x:row>
    <x:row r="21">
      <x:c r="C21" s="985"/>
    </x:row>
    <x:row r="22">
      <x:c r="C22" s="985"/>
    </x:row>
    <x:row r="23">
      <x:c r="C23" s="985"/>
    </x:row>
    <x:row r="24">
      <x:c r="C24" s="985"/>
    </x:row>
    <x:row r="26">
      <x:c r="C26" s="98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FC000"/>
  </x:sheetPr>
  <x:sheetViews>
    <x:sheetView workbookViewId="0">
      <x:pane xSplit="11" ySplit="2" topLeftCell="L3" activePane="bottomRight" state="frozen"/>
    </x:sheetView>
  </x:sheetViews>
  <x:sheetFormatPr defaultColWidth="9.133333206176758" defaultRowHeight="15.75"/>
  <x:cols>
    <x:col min="1" max="1" width="9.991666793823242" customWidth="1"/>
    <x:col min="2" max="2" width="17.03333282470703" customWidth="1"/>
    <x:col min="3" max="3" width="15.675000190734863" customWidth="1"/>
    <x:col min="4" max="4" width="17.53333282470703" customWidth="1"/>
    <x:col min="5" max="5" width="17.53333282470703" style="791" customWidth="1"/>
    <x:col min="6" max="6" width="18.641666412353516" customWidth="1"/>
    <x:col min="7" max="7" width="24.71666717529297" customWidth="1"/>
    <x:col min="8" max="8" width="24.983333587646484" customWidth="1"/>
    <x:col min="9" max="9" width="12.024999618530273" customWidth="1"/>
    <x:col min="10" max="10" width="9.133333206176758" customWidth="1"/>
    <x:col min="11" max="11" width="19.308332443237305" customWidth="1"/>
    <x:col min="12" max="12" width="17.758333206176758" customWidth="1"/>
    <x:col min="13" max="13" width="7.816666603088379" customWidth="1"/>
    <x:col min="14" max="15" width="20.866666793823242" hidden="1" customWidth="1"/>
    <x:col min="16" max="16" width="24.991666793823242" customWidth="1"/>
    <x:col min="17" max="19" width="20.866666793823242" customWidth="1"/>
    <x:col min="20" max="20" width="32.50833511352539" customWidth="1"/>
    <x:col min="21" max="27" width="20.866666793823242" customWidth="1"/>
    <x:col min="28" max="28" width="17.725000381469727" customWidth="1"/>
    <x:col min="29" max="33" width="20.866666793823242" hidden="1" customWidth="1"/>
    <x:col min="34" max="34" width="22.858333587646484" hidden="1" customWidth="1"/>
    <x:col min="35" max="35" width="23.96666717529297" hidden="1" customWidth="1"/>
    <x:col min="36" max="36" width="19.78333282470703" hidden="1" customWidth="1"/>
    <x:col min="37" max="37" width="34.61666488647461" hidden="1" customWidth="1"/>
    <x:col min="38" max="38" width="32.275001525878906" customWidth="1"/>
    <x:col min="39" max="39" width="16.975000381469727" customWidth="1"/>
    <x:col min="40" max="40" width="25.66666603088379" customWidth="1"/>
    <x:col min="41" max="41" width="19.16666603088379" customWidth="1"/>
    <x:col min="42" max="42" width="16.46666717529297" customWidth="1"/>
    <x:col min="43" max="43" width="16.21666717529297" customWidth="1"/>
    <x:col min="44" max="44" width="34.81666564941406" customWidth="1"/>
    <x:col min="45" max="45" width="33.891666412353516" customWidth="1"/>
    <x:col min="46" max="46" width="11.300000190734863" customWidth="1"/>
    <x:col min="47" max="50" width="24.53333282470703" customWidth="1"/>
    <x:col min="51" max="51" width="24.53333282470703" hidden="1" customWidth="1"/>
    <x:col min="52" max="52" width="23.858333587646484" hidden="1" customWidth="1"/>
    <x:col min="53" max="54" width="20.866666793823242" hidden="1" customWidth="1"/>
    <x:col min="55" max="55" width="24.991666793823242" hidden="1" customWidth="1"/>
    <x:col min="56" max="56" width="18.40833282470703" style="792" customWidth="1"/>
    <x:col min="57" max="57" width="20.674999237060547" customWidth="1"/>
    <x:col min="66" max="66" width="11.774999618530273" customWidth="0"/>
  </x:cols>
  <x:sheetData>
    <x:row r="1" ht="50" customHeight="1">
      <x:c r="E1" s="791"/>
      <x:c r="M1" s="793" t="s">
        <x:v>18</x:v>
      </x:c>
      <x:c r="N1" s="793" t="n">
        <x:v>7.2</x:v>
      </x:c>
      <x:c r="Z1" s="794"/>
      <x:c r="AP1" s="795"/>
      <x:c r="AQ1" s="795"/>
      <x:c r="BD1" s="792"/>
    </x:row>
    <x:row r="2" ht="50" customHeight="1">
      <x:c r="E2" s="791"/>
      <x:c r="M2" s="793"/>
      <x:c r="N2" s="793"/>
      <x:c r="P2" s="796"/>
      <x:c r="Q2" s="796"/>
      <x:c r="AB2" s="794"/>
      <x:c r="AM2" s="797"/>
      <x:c r="AN2" s="798"/>
      <x:c r="AP2" s="799"/>
      <x:c r="AQ2" s="799"/>
      <x:c r="BD2" s="792"/>
    </x:row>
    <x:row r="3" ht="103.75" customHeight="1">
      <x:c r="A3" s="800" t="s">
        <x:v>19</x:v>
      </x:c>
      <x:c r="B3" s="800" t="s">
        <x:v>20</x:v>
      </x:c>
      <x:c r="C3" s="800" t="s">
        <x:v>21</x:v>
      </x:c>
      <x:c r="D3" s="800" t="s">
        <x:v>22</x:v>
      </x:c>
      <x:c r="E3" s="801" t="s">
        <x:v>23</x:v>
      </x:c>
      <x:c r="F3" s="800" t="s">
        <x:v>24</x:v>
      </x:c>
      <x:c r="G3" s="800" t="s">
        <x:v>25</x:v>
      </x:c>
      <x:c r="H3" s="361" t="s">
        <x:v>26</x:v>
      </x:c>
      <x:c r="I3" s="802" t="s">
        <x:v>27</x:v>
      </x:c>
      <x:c r="J3" s="803" t="s">
        <x:v>28</x:v>
      </x:c>
      <x:c r="K3" s="804" t="s">
        <x:v>29</x:v>
      </x:c>
      <x:c r="L3" s="805" t="s">
        <x:v>30</x:v>
      </x:c>
      <x:c r="M3" s="806" t="s">
        <x:v>28</x:v>
      </x:c>
      <x:c r="N3" s="366" t="s">
        <x:v>31</x:v>
      </x:c>
      <x:c r="O3" s="366" t="s">
        <x:v>32</x:v>
      </x:c>
      <x:c r="P3" s="807" t="s">
        <x:v>33</x:v>
      </x:c>
      <x:c r="Q3" s="807" t="s">
        <x:v>34</x:v>
      </x:c>
      <x:c r="R3" s="808" t="s">
        <x:v>35</x:v>
      </x:c>
      <x:c r="S3" s="809" t="s">
        <x:v>36</x:v>
      </x:c>
      <x:c r="T3" s="361" t="s">
        <x:v>37</x:v>
      </x:c>
      <x:c r="U3" s="361" t="s">
        <x:v>38</x:v>
      </x:c>
      <x:c r="V3" s="361" t="s">
        <x:v>39</x:v>
      </x:c>
      <x:c r="W3" s="810" t="s">
        <x:v>40</x:v>
      </x:c>
      <x:c r="X3" s="361" t="s">
        <x:v>41</x:v>
      </x:c>
      <x:c r="Y3" s="810" t="s">
        <x:v>42</x:v>
      </x:c>
      <x:c r="Z3" s="366" t="s">
        <x:v>43</x:v>
      </x:c>
      <x:c r="AA3" s="811" t="s">
        <x:v>44</x:v>
      </x:c>
      <x:c r="AB3" s="366" t="s">
        <x:v>45</x:v>
      </x:c>
      <x:c r="AC3" s="812" t="s">
        <x:v>46</x:v>
      </x:c>
      <x:c r="AD3" s="812" t="s">
        <x:v>47</x:v>
      </x:c>
      <x:c r="AE3" s="812" t="s">
        <x:v>48</x:v>
      </x:c>
      <x:c r="AF3" s="812" t="s">
        <x:v>49</x:v>
      </x:c>
      <x:c r="AG3" s="812" t="s">
        <x:v>50</x:v>
      </x:c>
      <x:c r="AH3" s="813" t="s">
        <x:v>51</x:v>
      </x:c>
      <x:c r="AI3" s="812" t="s">
        <x:v>52</x:v>
      </x:c>
      <x:c r="AJ3" s="812" t="s">
        <x:v>53</x:v>
      </x:c>
      <x:c r="AK3" s="814" t="s">
        <x:v>54</x:v>
      </x:c>
      <x:c r="AL3" s="361" t="s">
        <x:v>55</x:v>
      </x:c>
      <x:c r="AM3" s="810" t="s">
        <x:v>56</x:v>
      </x:c>
      <x:c r="AN3" s="815" t="s">
        <x:v>57</x:v>
      </x:c>
      <x:c r="AO3" s="366" t="s">
        <x:v>58</x:v>
      </x:c>
      <x:c r="AP3" s="366" t="s">
        <x:v>32</x:v>
      </x:c>
      <x:c r="AQ3" s="366" t="s">
        <x:v>59</x:v>
      </x:c>
      <x:c r="AR3" s="816" t="s">
        <x:v>60</x:v>
      </x:c>
      <x:c r="AS3" s="817" t="s">
        <x:v>61</x:v>
      </x:c>
      <x:c r="AT3" s="818" t="s">
        <x:v>62</x:v>
      </x:c>
      <x:c r="AU3" s="819" t="s">
        <x:v>63</x:v>
      </x:c>
      <x:c r="AV3" s="819" t="s">
        <x:v>64</x:v>
      </x:c>
      <x:c r="AW3" s="819" t="s">
        <x:v>65</x:v>
      </x:c>
      <x:c r="AX3" s="808" t="s">
        <x:v>66</x:v>
      </x:c>
      <x:c r="AY3" s="808" t="s">
        <x:v>67</x:v>
      </x:c>
      <x:c r="AZ3" s="818" t="s">
        <x:v>68</x:v>
      </x:c>
      <x:c r="BA3" s="819" t="s">
        <x:v>69</x:v>
      </x:c>
      <x:c r="BB3" s="819" t="s">
        <x:v>70</x:v>
      </x:c>
      <x:c r="BC3" s="807" t="s">
        <x:v>71</x:v>
      </x:c>
      <x:c r="BD3" s="818" t="s">
        <x:v>72</x:v>
      </x:c>
    </x:row>
    <x:row r="4" s="785" customFormat="1" ht="108.75" customHeight="1">
      <x:c r="A4" s="820"/>
      <x:c r="B4" s="820"/>
      <x:c r="C4" s="820"/>
      <x:c r="D4" s="821"/>
      <x:c r="E4" s="822"/>
      <x:c r="F4" s="823"/>
      <x:c r="G4" s="823"/>
      <x:c r="H4" s="821"/>
      <x:c r="I4" s="821"/>
      <x:c r="J4" s="821"/>
      <x:c r="K4" s="824"/>
      <x:c r="L4" s="825"/>
      <x:c r="M4" s="820"/>
      <x:c r="N4" s="826">
        <x:f t="shared" ref="N4:N18" si="0">ROUND(P4,2)</x:f>
      </x:c>
      <x:c r="O4" s="826">
        <x:f t="shared" ref="O4:O18" si="1">ROUND(Q4,2)</x:f>
      </x:c>
      <x:c r="P4" s="827"/>
      <x:c r="Q4" s="828"/>
      <x:c r="R4" s="829">
        <x:f t="shared" ref="R4:R18" si="2">AV4*AW4*AX4/28316.75*0.0283</x:f>
      </x:c>
      <x:c r="S4" s="830">
        <x:f t="shared" ref="S4:S20" si="3">ROUND(R4*AT4,2)</x:f>
      </x:c>
      <x:c r="T4" s="831"/>
      <x:c r="U4" s="820"/>
      <x:c r="V4" s="832"/>
      <x:c r="W4" s="833"/>
      <x:c r="X4" s="832"/>
      <x:c r="Y4" s="833"/>
      <x:c r="Z4" s="834"/>
      <x:c r="AA4" s="835"/>
      <x:c r="AB4" s="836"/>
      <x:c r="AC4" s="823"/>
      <x:c r="AD4" s="837"/>
      <x:c r="AE4" s="823"/>
      <x:c r="AF4" s="837"/>
      <x:c r="AG4" s="838"/>
      <x:c r="AH4" s="823"/>
      <x:c r="AI4" s="839"/>
      <x:c r="AJ4" s="838"/>
      <x:c r="AK4" s="839"/>
      <x:c r="AL4" s="823"/>
      <x:c r="AM4" s="840"/>
      <x:c r="AN4" s="823"/>
      <x:c r="AO4" s="841"/>
      <x:c r="AP4" s="841">
        <x:f t="shared" ref="AP4:AP18" si="4">AO4*K4</x:f>
      </x:c>
      <x:c r="AQ4" s="842"/>
      <x:c r="AR4" s="843"/>
      <x:c r="AS4" s="844"/>
      <x:c r="AT4" s="845"/>
      <x:c r="AU4" s="845"/>
      <x:c r="AV4" s="846"/>
      <x:c r="AW4" s="847"/>
      <x:c r="AX4" s="847"/>
      <x:c r="AY4" s="848"/>
      <x:c r="AZ4" s="849"/>
      <x:c r="BA4" s="827"/>
      <x:c r="BB4" s="850"/>
      <x:c r="BC4" s="851"/>
      <x:c r="BD4" s="852"/>
      <x:c r="BE4" s="853"/>
      <x:c r="BF4" s="853"/>
      <x:c r="BG4" s="853"/>
      <x:c r="BH4"/>
      <x:c r="BI4"/>
      <x:c r="BJ4"/>
      <x:c r="BK4"/>
      <x:c r="BL4"/>
      <x:c r="BM4"/>
      <x:c r="BN4"/>
      <x:c r="BO4"/>
      <x:c r="BP4"/>
      <x:c r="BQ4"/>
      <x:c r="BR4"/>
      <x:c r="BS4"/>
      <x:c r="BT4"/>
      <x:c r="BU4"/>
      <x:c r="BV4"/>
      <x:c r="BW4"/>
      <x:c r="BX4"/>
      <x:c r="BY4"/>
      <x:c r="BZ4"/>
      <x:c r="CA4"/>
      <x:c r="CB4"/>
      <x:c r="CC4"/>
      <x:c r="CD4"/>
      <x:c r="CE4"/>
      <x:c r="CF4"/>
      <x:c r="CG4"/>
      <x:c r="CH4"/>
      <x:c r="CI4"/>
      <x:c r="CJ4"/>
      <x:c r="CK4"/>
      <x:c r="CL4"/>
    </x:row>
    <x:row r="5" s="785" customFormat="1" ht="108.75" customHeight="1">
      <x:c r="A5" s="820"/>
      <x:c r="B5" s="820"/>
      <x:c r="C5" s="820"/>
      <x:c r="D5" s="821"/>
      <x:c r="E5" s="822"/>
      <x:c r="F5" s="823"/>
      <x:c r="G5" s="823"/>
      <x:c r="H5" s="821"/>
      <x:c r="I5" s="821"/>
      <x:c r="J5" s="821"/>
      <x:c r="K5" s="824"/>
      <x:c r="L5" s="825"/>
      <x:c r="M5" s="820"/>
      <x:c r="N5" s="826">
        <x:f t="shared" si="0"/>
      </x:c>
      <x:c r="O5" s="826">
        <x:f t="shared" si="1"/>
      </x:c>
      <x:c r="P5" s="827"/>
      <x:c r="Q5" s="828"/>
      <x:c r="R5" s="829">
        <x:f t="shared" si="2"/>
      </x:c>
      <x:c r="S5" s="830">
        <x:f t="shared" si="3"/>
      </x:c>
      <x:c r="T5" s="831"/>
      <x:c r="U5" s="820"/>
      <x:c r="V5" s="832"/>
      <x:c r="W5" s="833"/>
      <x:c r="X5" s="832"/>
      <x:c r="Y5" s="833"/>
      <x:c r="Z5" s="834"/>
      <x:c r="AA5" s="835">
        <x:f t="shared" ref="AA5:AA19" si="5">Z5*K5</x:f>
      </x:c>
      <x:c r="AB5" s="854"/>
      <x:c r="AC5" s="823"/>
      <x:c r="AD5" s="837"/>
      <x:c r="AE5" s="823"/>
      <x:c r="AF5" s="837"/>
      <x:c r="AG5" s="838"/>
      <x:c r="AH5" s="823"/>
      <x:c r="AI5" s="839"/>
      <x:c r="AJ5" s="838"/>
      <x:c r="AK5" s="839"/>
      <x:c r="AL5" s="823"/>
      <x:c r="AM5" s="840"/>
      <x:c r="AN5" s="823"/>
      <x:c r="AO5" s="841"/>
      <x:c r="AP5" s="841">
        <x:f t="shared" si="4"/>
      </x:c>
      <x:c r="AQ5" s="842"/>
      <x:c r="AR5" s="843"/>
      <x:c r="AS5" s="855"/>
      <x:c r="AT5" s="845"/>
      <x:c r="AU5" s="845"/>
      <x:c r="AV5" s="846"/>
      <x:c r="AW5" s="847"/>
      <x:c r="AX5" s="847"/>
      <x:c r="AY5" s="848"/>
      <x:c r="AZ5" s="849"/>
      <x:c r="BA5" s="827"/>
      <x:c r="BB5" s="850"/>
      <x:c r="BC5" s="851"/>
      <x:c r="BD5" s="856"/>
      <x:c r="BE5" s="853"/>
      <x:c r="BF5" s="853"/>
      <x:c r="BG5" s="853"/>
      <x:c r="BH5"/>
      <x:c r="BI5"/>
      <x:c r="BJ5"/>
      <x:c r="BK5"/>
      <x:c r="BL5"/>
      <x:c r="BM5"/>
      <x:c r="BN5"/>
      <x:c r="BO5"/>
      <x:c r="BP5"/>
      <x:c r="BQ5"/>
      <x:c r="BR5"/>
      <x:c r="BS5"/>
      <x:c r="BT5"/>
      <x:c r="BU5"/>
      <x:c r="BV5"/>
      <x:c r="BW5"/>
      <x:c r="BX5"/>
      <x:c r="BY5"/>
      <x:c r="BZ5"/>
      <x:c r="CA5"/>
      <x:c r="CB5"/>
      <x:c r="CC5"/>
      <x:c r="CD5"/>
      <x:c r="CE5"/>
      <x:c r="CF5"/>
      <x:c r="CG5"/>
      <x:c r="CH5"/>
      <x:c r="CI5"/>
      <x:c r="CJ5"/>
      <x:c r="CK5"/>
      <x:c r="CL5"/>
    </x:row>
    <x:row r="6" s="785" customFormat="1" ht="108.75" customHeight="1">
      <x:c r="A6" s="820"/>
      <x:c r="B6" s="820"/>
      <x:c r="C6" s="820"/>
      <x:c r="D6" s="821"/>
      <x:c r="E6" s="822"/>
      <x:c r="F6" s="823"/>
      <x:c r="G6" s="823"/>
      <x:c r="H6" s="821"/>
      <x:c r="I6" s="821"/>
      <x:c r="J6" s="821"/>
      <x:c r="K6" s="824"/>
      <x:c r="L6" s="825"/>
      <x:c r="M6" s="820"/>
      <x:c r="N6" s="826">
        <x:f t="shared" si="0"/>
      </x:c>
      <x:c r="O6" s="826">
        <x:f t="shared" si="1"/>
      </x:c>
      <x:c r="P6" s="827"/>
      <x:c r="Q6" s="828"/>
      <x:c r="R6" s="829">
        <x:f t="shared" si="2"/>
      </x:c>
      <x:c r="S6" s="830">
        <x:f t="shared" si="3"/>
      </x:c>
      <x:c r="T6" s="857"/>
      <x:c r="U6" s="820"/>
      <x:c r="V6" s="832"/>
      <x:c r="W6" s="833"/>
      <x:c r="X6" s="832"/>
      <x:c r="Y6" s="833"/>
      <x:c r="Z6" s="834"/>
      <x:c r="AA6" s="835">
        <x:f t="shared" si="5"/>
      </x:c>
      <x:c r="AB6" s="854"/>
      <x:c r="AC6" s="823"/>
      <x:c r="AD6" s="837"/>
      <x:c r="AE6" s="823"/>
      <x:c r="AF6" s="837"/>
      <x:c r="AG6" s="838"/>
      <x:c r="AH6" s="823"/>
      <x:c r="AI6" s="839"/>
      <x:c r="AJ6" s="838"/>
      <x:c r="AK6" s="839"/>
      <x:c r="AL6" s="823"/>
      <x:c r="AM6" s="840"/>
      <x:c r="AN6" s="823"/>
      <x:c r="AO6" s="841"/>
      <x:c r="AP6" s="841">
        <x:f t="shared" si="4"/>
      </x:c>
      <x:c r="AQ6" s="842"/>
      <x:c r="AR6" s="843"/>
      <x:c r="AS6" s="855"/>
      <x:c r="AT6" s="845"/>
      <x:c r="AU6" s="845"/>
      <x:c r="AV6" s="846"/>
      <x:c r="AW6" s="847"/>
      <x:c r="AX6" s="847"/>
      <x:c r="AY6" s="848"/>
      <x:c r="AZ6" s="849"/>
      <x:c r="BA6" s="827"/>
      <x:c r="BB6" s="850"/>
      <x:c r="BC6" s="851"/>
      <x:c r="BD6" s="856"/>
      <x:c r="BE6" s="853"/>
      <x:c r="BF6" s="853"/>
      <x:c r="BG6" s="853"/>
      <x:c r="BH6"/>
      <x:c r="BI6"/>
      <x:c r="BJ6"/>
      <x:c r="BK6"/>
      <x:c r="BL6"/>
      <x:c r="BM6"/>
      <x:c r="BN6"/>
      <x:c r="BO6"/>
      <x:c r="BP6"/>
      <x:c r="BQ6"/>
      <x:c r="BR6"/>
      <x:c r="BS6"/>
      <x:c r="BT6"/>
      <x:c r="BU6"/>
      <x:c r="BV6"/>
      <x:c r="BW6"/>
      <x:c r="BX6"/>
      <x:c r="BY6"/>
      <x:c r="BZ6"/>
      <x:c r="CA6"/>
      <x:c r="CB6"/>
      <x:c r="CC6"/>
      <x:c r="CD6"/>
      <x:c r="CE6"/>
      <x:c r="CF6"/>
      <x:c r="CG6"/>
      <x:c r="CH6"/>
      <x:c r="CI6"/>
      <x:c r="CJ6"/>
      <x:c r="CK6"/>
      <x:c r="CL6"/>
    </x:row>
    <x:row r="7" s="785" customFormat="1" ht="108.75" customHeight="1">
      <x:c r="A7" s="820"/>
      <x:c r="B7" s="820"/>
      <x:c r="C7" s="820"/>
      <x:c r="D7" s="821"/>
      <x:c r="E7" s="822"/>
      <x:c r="F7" s="823"/>
      <x:c r="G7" s="823"/>
      <x:c r="H7" s="821"/>
      <x:c r="I7" s="821"/>
      <x:c r="J7" s="821"/>
      <x:c r="K7" s="824"/>
      <x:c r="L7" s="825"/>
      <x:c r="M7" s="820"/>
      <x:c r="N7" s="826">
        <x:f t="shared" si="0"/>
      </x:c>
      <x:c r="O7" s="826">
        <x:f t="shared" si="1"/>
      </x:c>
      <x:c r="P7" s="827"/>
      <x:c r="Q7" s="828"/>
      <x:c r="R7" s="829">
        <x:f t="shared" si="2"/>
      </x:c>
      <x:c r="S7" s="830">
        <x:f t="shared" si="3"/>
      </x:c>
      <x:c r="T7" s="857"/>
      <x:c r="U7" s="820"/>
      <x:c r="V7" s="832"/>
      <x:c r="W7" s="833"/>
      <x:c r="X7" s="832"/>
      <x:c r="Y7" s="833"/>
      <x:c r="Z7" s="834"/>
      <x:c r="AA7" s="835">
        <x:f t="shared" si="5"/>
      </x:c>
      <x:c r="AB7" s="854"/>
      <x:c r="AC7" s="823"/>
      <x:c r="AD7" s="837"/>
      <x:c r="AE7" s="823"/>
      <x:c r="AF7" s="837"/>
      <x:c r="AG7" s="838"/>
      <x:c r="AH7" s="823"/>
      <x:c r="AI7" s="839"/>
      <x:c r="AJ7" s="838"/>
      <x:c r="AK7" s="839"/>
      <x:c r="AL7" s="823"/>
      <x:c r="AM7" s="840"/>
      <x:c r="AN7" s="823"/>
      <x:c r="AO7" s="841"/>
      <x:c r="AP7" s="841">
        <x:f t="shared" si="4"/>
      </x:c>
      <x:c r="AQ7" s="842"/>
      <x:c r="AR7" s="843"/>
      <x:c r="AS7" s="855"/>
      <x:c r="AT7" s="845"/>
      <x:c r="AU7" s="845"/>
      <x:c r="AV7" s="846"/>
      <x:c r="AW7" s="847"/>
      <x:c r="AX7" s="847"/>
      <x:c r="AY7" s="848"/>
      <x:c r="AZ7" s="849"/>
      <x:c r="BA7" s="827"/>
      <x:c r="BB7" s="850"/>
      <x:c r="BC7" s="851"/>
      <x:c r="BD7" s="856"/>
      <x:c r="BE7" s="853"/>
      <x:c r="BF7" s="853"/>
      <x:c r="BG7" s="853"/>
      <x:c r="BH7"/>
      <x:c r="BI7"/>
      <x:c r="BJ7"/>
      <x:c r="BK7"/>
      <x:c r="BL7"/>
      <x:c r="BM7"/>
      <x:c r="BN7"/>
      <x:c r="BO7"/>
      <x:c r="BP7"/>
      <x:c r="BQ7"/>
      <x:c r="BR7"/>
      <x:c r="BS7"/>
      <x:c r="BT7"/>
      <x:c r="BU7"/>
      <x:c r="BV7"/>
      <x:c r="BW7"/>
      <x:c r="BX7"/>
      <x:c r="BY7"/>
      <x:c r="BZ7"/>
      <x:c r="CA7"/>
      <x:c r="CB7"/>
      <x:c r="CC7"/>
      <x:c r="CD7"/>
      <x:c r="CE7"/>
      <x:c r="CF7"/>
      <x:c r="CG7"/>
      <x:c r="CH7"/>
      <x:c r="CI7"/>
      <x:c r="CJ7"/>
      <x:c r="CK7"/>
      <x:c r="CL7"/>
    </x:row>
    <x:row r="8" s="785" customFormat="1" ht="108.75" customHeight="1">
      <x:c r="A8" s="820"/>
      <x:c r="B8" s="820"/>
      <x:c r="C8" s="820"/>
      <x:c r="D8" s="821"/>
      <x:c r="E8" s="822"/>
      <x:c r="F8" s="823"/>
      <x:c r="G8" s="823"/>
      <x:c r="H8" s="821"/>
      <x:c r="I8" s="821"/>
      <x:c r="J8" s="821"/>
      <x:c r="K8" s="824"/>
      <x:c r="L8" s="825"/>
      <x:c r="M8" s="820"/>
      <x:c r="N8" s="826">
        <x:f t="shared" si="0"/>
      </x:c>
      <x:c r="O8" s="826">
        <x:f t="shared" si="1"/>
      </x:c>
      <x:c r="P8" s="827"/>
      <x:c r="Q8" s="828"/>
      <x:c r="R8" s="829">
        <x:f t="shared" si="2"/>
      </x:c>
      <x:c r="S8" s="830">
        <x:f t="shared" si="3"/>
      </x:c>
      <x:c r="T8" s="857"/>
      <x:c r="U8" s="820"/>
      <x:c r="V8" s="832"/>
      <x:c r="W8" s="833"/>
      <x:c r="X8" s="832"/>
      <x:c r="Y8" s="833"/>
      <x:c r="Z8" s="834"/>
      <x:c r="AA8" s="835">
        <x:f t="shared" si="5"/>
      </x:c>
      <x:c r="AB8" s="854"/>
      <x:c r="AC8" s="823"/>
      <x:c r="AD8" s="837"/>
      <x:c r="AE8" s="823"/>
      <x:c r="AF8" s="837"/>
      <x:c r="AG8" s="838"/>
      <x:c r="AH8" s="823"/>
      <x:c r="AI8" s="839"/>
      <x:c r="AJ8" s="838"/>
      <x:c r="AK8" s="839"/>
      <x:c r="AL8" s="823"/>
      <x:c r="AM8" s="840"/>
      <x:c r="AN8" s="823"/>
      <x:c r="AO8" s="841"/>
      <x:c r="AP8" s="841">
        <x:f t="shared" si="4"/>
      </x:c>
      <x:c r="AQ8" s="842"/>
      <x:c r="AR8" s="843"/>
      <x:c r="AS8" s="855"/>
      <x:c r="AT8" s="845"/>
      <x:c r="AU8" s="845"/>
      <x:c r="AV8" s="846"/>
      <x:c r="AW8" s="847"/>
      <x:c r="AX8" s="847"/>
      <x:c r="AY8" s="848"/>
      <x:c r="AZ8" s="849"/>
      <x:c r="BA8" s="827"/>
      <x:c r="BB8" s="850"/>
      <x:c r="BC8" s="851"/>
      <x:c r="BD8" s="856"/>
      <x:c r="BE8" s="853"/>
      <x:c r="BF8" s="853"/>
      <x:c r="BG8" s="853"/>
      <x:c r="BH8"/>
      <x:c r="BI8"/>
      <x:c r="BJ8"/>
      <x:c r="BK8"/>
      <x:c r="BL8"/>
      <x:c r="BM8"/>
      <x:c r="BN8"/>
      <x:c r="BO8"/>
      <x:c r="BP8"/>
      <x:c r="BQ8"/>
      <x:c r="BR8"/>
      <x:c r="BS8"/>
      <x:c r="BT8"/>
      <x:c r="BU8"/>
      <x:c r="BV8"/>
      <x:c r="BW8"/>
      <x:c r="BX8"/>
      <x:c r="BY8"/>
      <x:c r="BZ8"/>
      <x:c r="CA8"/>
      <x:c r="CB8"/>
      <x:c r="CC8"/>
      <x:c r="CD8"/>
      <x:c r="CE8"/>
      <x:c r="CF8"/>
      <x:c r="CG8"/>
      <x:c r="CH8"/>
      <x:c r="CI8"/>
      <x:c r="CJ8"/>
      <x:c r="CK8"/>
      <x:c r="CL8"/>
    </x:row>
    <x:row r="9" s="785" customFormat="1" ht="108.75" customHeight="1">
      <x:c r="A9" s="820"/>
      <x:c r="B9" s="820"/>
      <x:c r="C9" s="820"/>
      <x:c r="D9" s="821"/>
      <x:c r="E9" s="822"/>
      <x:c r="F9" s="823"/>
      <x:c r="G9" s="823"/>
      <x:c r="H9" s="821"/>
      <x:c r="I9" s="821"/>
      <x:c r="J9" s="821"/>
      <x:c r="K9" s="824"/>
      <x:c r="L9" s="825"/>
      <x:c r="M9" s="820"/>
      <x:c r="N9" s="826">
        <x:f t="shared" si="0"/>
      </x:c>
      <x:c r="O9" s="826">
        <x:f t="shared" si="1"/>
      </x:c>
      <x:c r="P9" s="827"/>
      <x:c r="Q9" s="828"/>
      <x:c r="R9" s="829">
        <x:f t="shared" si="2"/>
      </x:c>
      <x:c r="S9" s="830">
        <x:f t="shared" si="3"/>
      </x:c>
      <x:c r="T9" s="857"/>
      <x:c r="U9" s="820"/>
      <x:c r="V9" s="832"/>
      <x:c r="W9" s="833"/>
      <x:c r="X9" s="832"/>
      <x:c r="Y9" s="833"/>
      <x:c r="Z9" s="834"/>
      <x:c r="AA9" s="835">
        <x:f t="shared" si="5"/>
      </x:c>
      <x:c r="AB9" s="854"/>
      <x:c r="AC9" s="823"/>
      <x:c r="AD9" s="837"/>
      <x:c r="AE9" s="823"/>
      <x:c r="AF9" s="837"/>
      <x:c r="AG9" s="838"/>
      <x:c r="AH9" s="823"/>
      <x:c r="AI9" s="839"/>
      <x:c r="AJ9" s="838"/>
      <x:c r="AK9" s="839"/>
      <x:c r="AL9" s="823"/>
      <x:c r="AM9" s="840"/>
      <x:c r="AN9" s="823"/>
      <x:c r="AO9" s="841"/>
      <x:c r="AP9" s="841">
        <x:f t="shared" si="4"/>
      </x:c>
      <x:c r="AQ9" s="842"/>
      <x:c r="AR9" s="843"/>
      <x:c r="AS9" s="855"/>
      <x:c r="AT9" s="845"/>
      <x:c r="AU9" s="845"/>
      <x:c r="AV9" s="846"/>
      <x:c r="AW9" s="847"/>
      <x:c r="AX9" s="847"/>
      <x:c r="AY9" s="848"/>
      <x:c r="AZ9" s="849"/>
      <x:c r="BA9" s="827"/>
      <x:c r="BB9" s="850"/>
      <x:c r="BC9" s="851"/>
      <x:c r="BD9" s="856"/>
      <x:c r="BE9" s="853"/>
      <x:c r="BF9" s="853"/>
      <x:c r="BG9" s="853"/>
      <x:c r="BH9"/>
      <x:c r="BI9"/>
      <x:c r="BJ9"/>
      <x:c r="BK9"/>
      <x:c r="BL9"/>
      <x:c r="BM9"/>
      <x:c r="BN9"/>
      <x:c r="BO9"/>
      <x:c r="BP9"/>
      <x:c r="BQ9"/>
      <x:c r="BR9"/>
      <x:c r="BS9"/>
      <x:c r="BT9"/>
      <x:c r="BU9"/>
      <x:c r="BV9"/>
      <x:c r="BW9"/>
      <x:c r="BX9"/>
      <x:c r="BY9"/>
      <x:c r="BZ9"/>
      <x:c r="CA9"/>
      <x:c r="CB9"/>
      <x:c r="CC9"/>
      <x:c r="CD9"/>
      <x:c r="CE9"/>
      <x:c r="CF9"/>
      <x:c r="CG9"/>
      <x:c r="CH9"/>
      <x:c r="CI9"/>
      <x:c r="CJ9"/>
      <x:c r="CK9"/>
      <x:c r="CL9"/>
    </x:row>
    <x:row r="10" s="785" customFormat="1" ht="108.75" customHeight="1">
      <x:c r="A10" s="820"/>
      <x:c r="B10" s="820"/>
      <x:c r="C10" s="820"/>
      <x:c r="D10" s="821"/>
      <x:c r="E10" s="822"/>
      <x:c r="F10" s="823"/>
      <x:c r="G10" s="823"/>
      <x:c r="H10" s="821"/>
      <x:c r="I10" s="821"/>
      <x:c r="J10" s="821"/>
      <x:c r="K10" s="824"/>
      <x:c r="L10" s="825"/>
      <x:c r="M10" s="820"/>
      <x:c r="N10" s="826">
        <x:f t="shared" si="0"/>
      </x:c>
      <x:c r="O10" s="826">
        <x:f t="shared" si="1"/>
      </x:c>
      <x:c r="P10" s="827"/>
      <x:c r="Q10" s="828"/>
      <x:c r="R10" s="829">
        <x:f t="shared" si="2"/>
      </x:c>
      <x:c r="S10" s="830">
        <x:f t="shared" si="3"/>
      </x:c>
      <x:c r="T10" s="857"/>
      <x:c r="U10" s="820"/>
      <x:c r="V10" s="832"/>
      <x:c r="W10" s="833"/>
      <x:c r="X10" s="832"/>
      <x:c r="Y10" s="833"/>
      <x:c r="Z10" s="834"/>
      <x:c r="AA10" s="835">
        <x:f t="shared" si="5"/>
      </x:c>
      <x:c r="AB10" s="854"/>
      <x:c r="AC10" s="823"/>
      <x:c r="AD10" s="837"/>
      <x:c r="AE10" s="823"/>
      <x:c r="AF10" s="837"/>
      <x:c r="AG10" s="838"/>
      <x:c r="AH10" s="823"/>
      <x:c r="AI10" s="839"/>
      <x:c r="AJ10" s="838"/>
      <x:c r="AK10" s="839"/>
      <x:c r="AL10" s="823"/>
      <x:c r="AM10" s="840"/>
      <x:c r="AN10" s="823"/>
      <x:c r="AO10" s="841"/>
      <x:c r="AP10" s="841">
        <x:f t="shared" si="4"/>
      </x:c>
      <x:c r="AQ10" s="842"/>
      <x:c r="AR10" s="843"/>
      <x:c r="AS10" s="855"/>
      <x:c r="AT10" s="845"/>
      <x:c r="AU10" s="845"/>
      <x:c r="AV10" s="846"/>
      <x:c r="AW10" s="847"/>
      <x:c r="AX10" s="847"/>
      <x:c r="AY10" s="848"/>
      <x:c r="AZ10" s="849"/>
      <x:c r="BA10" s="827"/>
      <x:c r="BB10" s="850"/>
      <x:c r="BC10" s="851"/>
      <x:c r="BD10" s="856"/>
      <x:c r="BE10" s="853"/>
      <x:c r="BF10" s="853"/>
      <x:c r="BG10" s="853"/>
      <x:c r="BH10"/>
      <x:c r="BI10"/>
      <x:c r="BJ10"/>
      <x:c r="BK10"/>
      <x:c r="BL10"/>
      <x:c r="BM10"/>
      <x:c r="BN10"/>
      <x:c r="BO10"/>
      <x:c r="BP10"/>
      <x:c r="BQ10"/>
      <x:c r="BR10"/>
      <x:c r="BS10"/>
      <x:c r="BT10"/>
      <x:c r="BU10"/>
      <x:c r="BV10"/>
      <x:c r="BW10"/>
      <x:c r="BX10"/>
      <x:c r="BY10"/>
      <x:c r="BZ10"/>
      <x:c r="CA10"/>
      <x:c r="CB10"/>
      <x:c r="CC10"/>
      <x:c r="CD10"/>
      <x:c r="CE10"/>
      <x:c r="CF10"/>
      <x:c r="CG10"/>
      <x:c r="CH10"/>
      <x:c r="CI10"/>
      <x:c r="CJ10"/>
      <x:c r="CK10"/>
      <x:c r="CL10"/>
    </x:row>
    <x:row r="11" s="785" customFormat="1" ht="108.75" customHeight="1">
      <x:c r="A11" s="820"/>
      <x:c r="B11" s="820"/>
      <x:c r="C11" s="820"/>
      <x:c r="D11" s="821"/>
      <x:c r="E11" s="822"/>
      <x:c r="F11" s="823"/>
      <x:c r="G11" s="823"/>
      <x:c r="H11" s="821"/>
      <x:c r="I11" s="821"/>
      <x:c r="J11" s="821"/>
      <x:c r="K11" s="824"/>
      <x:c r="L11" s="825"/>
      <x:c r="M11" s="820"/>
      <x:c r="N11" s="826">
        <x:f t="shared" si="0"/>
      </x:c>
      <x:c r="O11" s="826">
        <x:f t="shared" si="1"/>
      </x:c>
      <x:c r="P11" s="827"/>
      <x:c r="Q11" s="828"/>
      <x:c r="R11" s="829">
        <x:f t="shared" si="2"/>
      </x:c>
      <x:c r="S11" s="830">
        <x:f t="shared" si="3"/>
      </x:c>
      <x:c r="T11" s="857"/>
      <x:c r="U11" s="820"/>
      <x:c r="V11" s="832"/>
      <x:c r="W11" s="833"/>
      <x:c r="X11" s="832"/>
      <x:c r="Y11" s="833"/>
      <x:c r="Z11" s="834"/>
      <x:c r="AA11" s="835">
        <x:f t="shared" si="5"/>
      </x:c>
      <x:c r="AB11" s="854"/>
      <x:c r="AC11" s="823"/>
      <x:c r="AD11" s="837"/>
      <x:c r="AE11" s="823"/>
      <x:c r="AF11" s="837"/>
      <x:c r="AG11" s="838"/>
      <x:c r="AH11" s="823"/>
      <x:c r="AI11" s="839"/>
      <x:c r="AJ11" s="838"/>
      <x:c r="AK11" s="839"/>
      <x:c r="AL11" s="823"/>
      <x:c r="AM11" s="840"/>
      <x:c r="AN11" s="823"/>
      <x:c r="AO11" s="841"/>
      <x:c r="AP11" s="841">
        <x:f t="shared" si="4"/>
      </x:c>
      <x:c r="AQ11" s="842"/>
      <x:c r="AR11" s="843"/>
      <x:c r="AS11" s="855"/>
      <x:c r="AT11" s="845"/>
      <x:c r="AU11" s="845"/>
      <x:c r="AV11" s="846"/>
      <x:c r="AW11" s="847"/>
      <x:c r="AX11" s="847"/>
      <x:c r="AY11" s="848"/>
      <x:c r="AZ11" s="849"/>
      <x:c r="BA11" s="827"/>
      <x:c r="BB11" s="850"/>
      <x:c r="BC11" s="851"/>
      <x:c r="BD11" s="856"/>
      <x:c r="BE11" s="853"/>
      <x:c r="BF11" s="853"/>
      <x:c r="BG11" s="853"/>
      <x:c r="BH11"/>
      <x:c r="BI11"/>
      <x:c r="BJ11"/>
      <x:c r="BK11"/>
      <x:c r="BL11"/>
      <x:c r="BM11"/>
      <x:c r="BN11"/>
      <x:c r="BO11"/>
      <x:c r="BP11"/>
      <x:c r="BQ11"/>
      <x:c r="BR11"/>
      <x:c r="BS11"/>
      <x:c r="BT11"/>
      <x:c r="BU11"/>
      <x:c r="BV11"/>
      <x:c r="BW11"/>
      <x:c r="BX11"/>
      <x:c r="BY11"/>
      <x:c r="BZ11"/>
      <x:c r="CA11"/>
      <x:c r="CB11"/>
      <x:c r="CC11"/>
      <x:c r="CD11"/>
      <x:c r="CE11"/>
      <x:c r="CF11"/>
      <x:c r="CG11"/>
      <x:c r="CH11"/>
      <x:c r="CI11"/>
      <x:c r="CJ11"/>
      <x:c r="CK11"/>
      <x:c r="CL11"/>
    </x:row>
    <x:row r="12" s="785" customFormat="1" ht="108.75" customHeight="1">
      <x:c r="A12" s="820"/>
      <x:c r="B12" s="820"/>
      <x:c r="C12" s="820"/>
      <x:c r="D12" s="821"/>
      <x:c r="E12" s="822"/>
      <x:c r="F12" s="823"/>
      <x:c r="G12" s="823"/>
      <x:c r="H12" s="821"/>
      <x:c r="I12" s="821"/>
      <x:c r="J12" s="821"/>
      <x:c r="K12" s="824"/>
      <x:c r="L12" s="825"/>
      <x:c r="M12" s="820"/>
      <x:c r="N12" s="826">
        <x:f t="shared" si="0"/>
      </x:c>
      <x:c r="O12" s="826">
        <x:f t="shared" si="1"/>
      </x:c>
      <x:c r="P12" s="827"/>
      <x:c r="Q12" s="828"/>
      <x:c r="R12" s="829">
        <x:f t="shared" si="2"/>
      </x:c>
      <x:c r="S12" s="830">
        <x:f t="shared" si="3"/>
      </x:c>
      <x:c r="T12" s="857"/>
      <x:c r="U12" s="820"/>
      <x:c r="V12" s="832"/>
      <x:c r="W12" s="833"/>
      <x:c r="X12" s="832"/>
      <x:c r="Y12" s="833"/>
      <x:c r="Z12" s="834"/>
      <x:c r="AA12" s="835">
        <x:f t="shared" si="5"/>
      </x:c>
      <x:c r="AB12" s="854"/>
      <x:c r="AC12" s="823"/>
      <x:c r="AD12" s="837"/>
      <x:c r="AE12" s="823"/>
      <x:c r="AF12" s="837"/>
      <x:c r="AG12" s="838"/>
      <x:c r="AH12" s="823"/>
      <x:c r="AI12" s="839"/>
      <x:c r="AJ12" s="838"/>
      <x:c r="AK12" s="839"/>
      <x:c r="AL12" s="823"/>
      <x:c r="AM12" s="840"/>
      <x:c r="AN12" s="823"/>
      <x:c r="AO12" s="841"/>
      <x:c r="AP12" s="841">
        <x:f t="shared" si="4"/>
      </x:c>
      <x:c r="AQ12" s="842"/>
      <x:c r="AR12" s="843"/>
      <x:c r="AS12" s="855"/>
      <x:c r="AT12" s="845"/>
      <x:c r="AU12" s="845"/>
      <x:c r="AV12" s="846"/>
      <x:c r="AW12" s="847"/>
      <x:c r="AX12" s="847"/>
      <x:c r="AY12" s="848"/>
      <x:c r="AZ12" s="849"/>
      <x:c r="BA12" s="827"/>
      <x:c r="BB12" s="850"/>
      <x:c r="BC12" s="851"/>
      <x:c r="BD12" s="856"/>
      <x:c r="BE12" s="853"/>
      <x:c r="BF12" s="853"/>
      <x:c r="BG12" s="853"/>
      <x:c r="BH12"/>
      <x:c r="BI12"/>
      <x:c r="BJ12"/>
      <x:c r="BK12"/>
      <x:c r="BL12"/>
      <x:c r="BM12"/>
      <x:c r="BN12"/>
      <x:c r="BO12"/>
      <x:c r="BP12"/>
      <x:c r="BQ12"/>
      <x:c r="BR12"/>
      <x:c r="BS12"/>
      <x:c r="BT12"/>
      <x:c r="BU12"/>
      <x:c r="BV12"/>
      <x:c r="BW12"/>
      <x:c r="BX12"/>
      <x:c r="BY12"/>
      <x:c r="BZ12"/>
      <x:c r="CA12"/>
      <x:c r="CB12"/>
      <x:c r="CC12"/>
      <x:c r="CD12"/>
      <x:c r="CE12"/>
      <x:c r="CF12"/>
      <x:c r="CG12"/>
      <x:c r="CH12"/>
      <x:c r="CI12"/>
      <x:c r="CJ12"/>
      <x:c r="CK12"/>
      <x:c r="CL12"/>
    </x:row>
    <x:row r="13" s="785" customFormat="1" ht="108.75" customHeight="1">
      <x:c r="A13" s="820"/>
      <x:c r="B13" s="820"/>
      <x:c r="C13" s="820"/>
      <x:c r="D13" s="821"/>
      <x:c r="E13" s="822"/>
      <x:c r="F13" s="823"/>
      <x:c r="G13" s="823"/>
      <x:c r="H13" s="821"/>
      <x:c r="I13" s="821"/>
      <x:c r="J13" s="821"/>
      <x:c r="K13" s="824"/>
      <x:c r="L13" s="825"/>
      <x:c r="M13" s="820"/>
      <x:c r="N13" s="826">
        <x:f t="shared" si="0"/>
      </x:c>
      <x:c r="O13" s="826">
        <x:f t="shared" si="1"/>
      </x:c>
      <x:c r="P13" s="827"/>
      <x:c r="Q13" s="828"/>
      <x:c r="R13" s="829">
        <x:f t="shared" si="2"/>
      </x:c>
      <x:c r="S13" s="830">
        <x:f t="shared" si="3"/>
      </x:c>
      <x:c r="T13" s="857"/>
      <x:c r="U13" s="820"/>
      <x:c r="V13" s="832"/>
      <x:c r="W13" s="833"/>
      <x:c r="X13" s="832"/>
      <x:c r="Y13" s="833"/>
      <x:c r="Z13" s="834"/>
      <x:c r="AA13" s="835">
        <x:f t="shared" si="5"/>
      </x:c>
      <x:c r="AB13" s="854"/>
      <x:c r="AC13" s="823"/>
      <x:c r="AD13" s="837"/>
      <x:c r="AE13" s="823"/>
      <x:c r="AF13" s="837"/>
      <x:c r="AG13" s="838"/>
      <x:c r="AH13" s="823"/>
      <x:c r="AI13" s="839"/>
      <x:c r="AJ13" s="838"/>
      <x:c r="AK13" s="839"/>
      <x:c r="AL13" s="823"/>
      <x:c r="AM13" s="840"/>
      <x:c r="AN13" s="823"/>
      <x:c r="AO13" s="841"/>
      <x:c r="AP13" s="841">
        <x:f t="shared" si="4"/>
      </x:c>
      <x:c r="AQ13" s="842"/>
      <x:c r="AR13" s="843"/>
      <x:c r="AS13" s="855"/>
      <x:c r="AT13" s="845"/>
      <x:c r="AU13" s="845"/>
      <x:c r="AV13" s="846"/>
      <x:c r="AW13" s="847"/>
      <x:c r="AX13" s="847"/>
      <x:c r="AY13" s="848"/>
      <x:c r="AZ13" s="849"/>
      <x:c r="BA13" s="827"/>
      <x:c r="BB13" s="850"/>
      <x:c r="BC13" s="851"/>
      <x:c r="BD13" s="856"/>
      <x:c r="BE13" s="853"/>
      <x:c r="BF13" s="853"/>
      <x:c r="BG13" s="853"/>
      <x:c r="BH13"/>
      <x:c r="BI13"/>
      <x:c r="BJ13"/>
      <x:c r="BK13"/>
      <x:c r="BL13"/>
      <x:c r="BM13"/>
      <x:c r="BN13"/>
      <x:c r="BO13"/>
      <x:c r="BP13"/>
      <x:c r="BQ13"/>
      <x:c r="BR13"/>
      <x:c r="BS13"/>
      <x:c r="BT13"/>
      <x:c r="BU13"/>
      <x:c r="BV13"/>
      <x:c r="BW13"/>
      <x:c r="BX13"/>
      <x:c r="BY13"/>
      <x:c r="BZ13"/>
      <x:c r="CA13"/>
      <x:c r="CB13"/>
      <x:c r="CC13"/>
      <x:c r="CD13"/>
      <x:c r="CE13"/>
      <x:c r="CF13"/>
      <x:c r="CG13"/>
      <x:c r="CH13"/>
      <x:c r="CI13"/>
      <x:c r="CJ13"/>
      <x:c r="CK13"/>
      <x:c r="CL13"/>
    </x:row>
    <x:row r="14" s="785" customFormat="1" ht="108.75" customHeight="1">
      <x:c r="A14" s="820"/>
      <x:c r="B14" s="820"/>
      <x:c r="C14" s="820"/>
      <x:c r="D14" s="821"/>
      <x:c r="E14" s="822"/>
      <x:c r="F14" s="823"/>
      <x:c r="G14" s="823"/>
      <x:c r="H14" s="821"/>
      <x:c r="I14" s="821"/>
      <x:c r="J14" s="821"/>
      <x:c r="K14" s="824"/>
      <x:c r="L14" s="825"/>
      <x:c r="M14" s="820"/>
      <x:c r="N14" s="826">
        <x:f t="shared" si="0"/>
      </x:c>
      <x:c r="O14" s="826">
        <x:f t="shared" si="1"/>
      </x:c>
      <x:c r="P14" s="827"/>
      <x:c r="Q14" s="828"/>
      <x:c r="R14" s="829">
        <x:f t="shared" si="2"/>
      </x:c>
      <x:c r="S14" s="830">
        <x:f t="shared" si="3"/>
      </x:c>
      <x:c r="T14" s="857"/>
      <x:c r="U14" s="820"/>
      <x:c r="V14" s="832"/>
      <x:c r="W14" s="833"/>
      <x:c r="X14" s="832"/>
      <x:c r="Y14" s="833"/>
      <x:c r="Z14" s="834"/>
      <x:c r="AA14" s="835">
        <x:f t="shared" si="5"/>
      </x:c>
      <x:c r="AB14" s="854"/>
      <x:c r="AC14" s="823"/>
      <x:c r="AD14" s="837"/>
      <x:c r="AE14" s="823"/>
      <x:c r="AF14" s="837"/>
      <x:c r="AG14" s="838"/>
      <x:c r="AH14" s="823"/>
      <x:c r="AI14" s="839"/>
      <x:c r="AJ14" s="838"/>
      <x:c r="AK14" s="839"/>
      <x:c r="AL14" s="823"/>
      <x:c r="AM14" s="840"/>
      <x:c r="AN14" s="823"/>
      <x:c r="AO14" s="841"/>
      <x:c r="AP14" s="841">
        <x:f t="shared" si="4"/>
      </x:c>
      <x:c r="AQ14" s="842"/>
      <x:c r="AR14" s="843"/>
      <x:c r="AS14" s="855"/>
      <x:c r="AT14" s="845"/>
      <x:c r="AU14" s="845"/>
      <x:c r="AV14" s="846"/>
      <x:c r="AW14" s="847"/>
      <x:c r="AX14" s="847"/>
      <x:c r="AY14" s="848"/>
      <x:c r="AZ14" s="849"/>
      <x:c r="BA14" s="827"/>
      <x:c r="BB14" s="850"/>
      <x:c r="BC14" s="851"/>
      <x:c r="BD14" s="856"/>
      <x:c r="BE14" s="853"/>
      <x:c r="BF14" s="853"/>
      <x:c r="BG14" s="853"/>
      <x:c r="BH14"/>
      <x:c r="BI14"/>
      <x:c r="BJ14"/>
      <x:c r="BK14"/>
      <x:c r="BL14"/>
      <x:c r="BM14"/>
      <x:c r="BN14"/>
      <x:c r="BO14"/>
      <x:c r="BP14"/>
      <x:c r="BQ14"/>
      <x:c r="BR14"/>
      <x:c r="BS14"/>
      <x:c r="BT14"/>
      <x:c r="BU14"/>
      <x:c r="BV14"/>
      <x:c r="BW14"/>
      <x:c r="BX14"/>
      <x:c r="BY14"/>
      <x:c r="BZ14"/>
      <x:c r="CA14"/>
      <x:c r="CB14"/>
      <x:c r="CC14"/>
      <x:c r="CD14"/>
      <x:c r="CE14"/>
      <x:c r="CF14"/>
      <x:c r="CG14"/>
      <x:c r="CH14"/>
      <x:c r="CI14"/>
      <x:c r="CJ14"/>
      <x:c r="CK14"/>
      <x:c r="CL14"/>
    </x:row>
    <x:row r="15" s="785" customFormat="1" ht="108.75" customHeight="1">
      <x:c r="A15" s="820"/>
      <x:c r="B15" s="820"/>
      <x:c r="C15" s="820"/>
      <x:c r="D15" s="821"/>
      <x:c r="E15" s="822"/>
      <x:c r="F15" s="823"/>
      <x:c r="G15" s="823"/>
      <x:c r="H15" s="821"/>
      <x:c r="I15" s="821"/>
      <x:c r="J15" s="821"/>
      <x:c r="K15" s="824"/>
      <x:c r="L15" s="825"/>
      <x:c r="M15" s="820"/>
      <x:c r="N15" s="826">
        <x:f t="shared" si="0"/>
      </x:c>
      <x:c r="O15" s="826">
        <x:f t="shared" si="1"/>
      </x:c>
      <x:c r="P15" s="827"/>
      <x:c r="Q15" s="828"/>
      <x:c r="R15" s="829">
        <x:f t="shared" si="2"/>
      </x:c>
      <x:c r="S15" s="830">
        <x:f t="shared" si="3"/>
      </x:c>
      <x:c r="T15" s="857"/>
      <x:c r="U15" s="820"/>
      <x:c r="V15" s="832"/>
      <x:c r="W15" s="833"/>
      <x:c r="X15" s="832"/>
      <x:c r="Y15" s="833"/>
      <x:c r="Z15" s="858"/>
      <x:c r="AA15" s="859">
        <x:f t="shared" si="5"/>
      </x:c>
      <x:c r="AB15" s="854"/>
      <x:c r="AC15" s="823"/>
      <x:c r="AD15" s="837"/>
      <x:c r="AE15" s="823"/>
      <x:c r="AF15" s="837"/>
      <x:c r="AG15" s="838"/>
      <x:c r="AH15" s="823"/>
      <x:c r="AI15" s="839"/>
      <x:c r="AJ15" s="838"/>
      <x:c r="AK15" s="839"/>
      <x:c r="AL15" s="823"/>
      <x:c r="AM15" s="840"/>
      <x:c r="AN15" s="823"/>
      <x:c r="AO15" s="841"/>
      <x:c r="AP15" s="841">
        <x:f t="shared" si="4"/>
      </x:c>
      <x:c r="AQ15" s="842"/>
      <x:c r="AR15" s="843"/>
      <x:c r="AS15" s="855"/>
      <x:c r="AT15" s="845"/>
      <x:c r="AU15" s="845"/>
      <x:c r="AV15" s="846"/>
      <x:c r="AW15" s="847"/>
      <x:c r="AX15" s="847"/>
      <x:c r="AY15" s="848"/>
      <x:c r="AZ15" s="849"/>
      <x:c r="BA15" s="827"/>
      <x:c r="BB15" s="850"/>
      <x:c r="BC15" s="851"/>
      <x:c r="BD15" s="856"/>
      <x:c r="BE15" s="853"/>
      <x:c r="BF15" s="853"/>
      <x:c r="BG15" s="853"/>
      <x:c r="BH15"/>
      <x:c r="BI15"/>
      <x:c r="BJ15"/>
      <x:c r="BK15"/>
      <x:c r="BL15"/>
      <x:c r="BM15"/>
      <x:c r="BN15"/>
      <x:c r="BO15"/>
      <x:c r="BP15"/>
      <x:c r="BQ15"/>
      <x:c r="BR15"/>
      <x:c r="BS15"/>
      <x:c r="BT15"/>
      <x:c r="BU15"/>
      <x:c r="BV15"/>
      <x:c r="BW15"/>
      <x:c r="BX15"/>
      <x:c r="BY15"/>
      <x:c r="BZ15"/>
      <x:c r="CA15"/>
      <x:c r="CB15"/>
      <x:c r="CC15"/>
      <x:c r="CD15"/>
      <x:c r="CE15"/>
      <x:c r="CF15"/>
      <x:c r="CG15"/>
      <x:c r="CH15"/>
      <x:c r="CI15"/>
      <x:c r="CJ15"/>
      <x:c r="CK15"/>
      <x:c r="CL15"/>
    </x:row>
    <x:row r="16" s="785" customFormat="1" ht="108.75" customHeight="1">
      <x:c r="A16" s="820"/>
      <x:c r="B16" s="820"/>
      <x:c r="C16" s="820"/>
      <x:c r="D16" s="821"/>
      <x:c r="E16" s="822"/>
      <x:c r="F16" s="823"/>
      <x:c r="G16" s="823"/>
      <x:c r="H16" s="821"/>
      <x:c r="I16" s="821"/>
      <x:c r="J16" s="821"/>
      <x:c r="K16" s="824"/>
      <x:c r="L16" s="825"/>
      <x:c r="M16" s="820"/>
      <x:c r="N16" s="826">
        <x:f t="shared" si="0"/>
      </x:c>
      <x:c r="O16" s="826">
        <x:f t="shared" si="1"/>
      </x:c>
      <x:c r="P16" s="827"/>
      <x:c r="Q16" s="828"/>
      <x:c r="R16" s="829">
        <x:f t="shared" si="2"/>
      </x:c>
      <x:c r="S16" s="830">
        <x:f t="shared" si="3"/>
      </x:c>
      <x:c r="T16" s="857"/>
      <x:c r="U16" s="820"/>
      <x:c r="V16" s="832"/>
      <x:c r="W16" s="833"/>
      <x:c r="X16" s="832"/>
      <x:c r="Y16" s="833"/>
      <x:c r="Z16" s="834"/>
      <x:c r="AA16" s="835">
        <x:f t="shared" si="5"/>
      </x:c>
      <x:c r="AB16" s="854"/>
      <x:c r="AC16" s="823"/>
      <x:c r="AD16" s="837"/>
      <x:c r="AE16" s="823"/>
      <x:c r="AF16" s="837"/>
      <x:c r="AG16" s="838"/>
      <x:c r="AH16" s="823"/>
      <x:c r="AI16" s="839"/>
      <x:c r="AJ16" s="838"/>
      <x:c r="AK16" s="839"/>
      <x:c r="AL16" s="823"/>
      <x:c r="AM16" s="840"/>
      <x:c r="AN16" s="823"/>
      <x:c r="AO16" s="841"/>
      <x:c r="AP16" s="841">
        <x:f t="shared" si="4"/>
      </x:c>
      <x:c r="AQ16" s="842"/>
      <x:c r="AR16" s="843"/>
      <x:c r="AS16" s="855"/>
      <x:c r="AT16" s="845"/>
      <x:c r="AU16" s="845"/>
      <x:c r="AV16" s="846"/>
      <x:c r="AW16" s="847"/>
      <x:c r="AX16" s="847"/>
      <x:c r="AY16" s="848"/>
      <x:c r="AZ16" s="849"/>
      <x:c r="BA16" s="827"/>
      <x:c r="BB16" s="850"/>
      <x:c r="BC16" s="851"/>
      <x:c r="BD16" s="856"/>
      <x:c r="BE16" s="853"/>
      <x:c r="BF16" s="853"/>
      <x:c r="BG16" s="853"/>
      <x:c r="BH16"/>
      <x:c r="BI16"/>
      <x:c r="BJ16"/>
      <x:c r="BK16"/>
      <x:c r="BL16"/>
      <x:c r="BM16"/>
      <x:c r="BN16"/>
      <x:c r="BO16"/>
      <x:c r="BP16"/>
      <x:c r="BQ16"/>
      <x:c r="BR16"/>
      <x:c r="BS16"/>
      <x:c r="BT16"/>
      <x:c r="BU16"/>
      <x:c r="BV16"/>
      <x:c r="BW16"/>
      <x:c r="BX16"/>
      <x:c r="BY16"/>
      <x:c r="BZ16"/>
      <x:c r="CA16"/>
      <x:c r="CB16"/>
      <x:c r="CC16"/>
      <x:c r="CD16"/>
      <x:c r="CE16"/>
      <x:c r="CF16"/>
      <x:c r="CG16"/>
      <x:c r="CH16"/>
      <x:c r="CI16"/>
      <x:c r="CJ16"/>
      <x:c r="CK16"/>
      <x:c r="CL16"/>
    </x:row>
    <x:row r="17" s="785" customFormat="1" ht="108.75" customHeight="1">
      <x:c r="A17" s="820"/>
      <x:c r="B17" s="820"/>
      <x:c r="C17" s="820"/>
      <x:c r="D17" s="821"/>
      <x:c r="E17" s="822"/>
      <x:c r="F17" s="823"/>
      <x:c r="G17" s="823"/>
      <x:c r="H17" s="821"/>
      <x:c r="I17" s="821"/>
      <x:c r="J17" s="821"/>
      <x:c r="K17" s="824"/>
      <x:c r="L17" s="825"/>
      <x:c r="M17" s="820"/>
      <x:c r="N17" s="826">
        <x:f t="shared" si="0"/>
      </x:c>
      <x:c r="O17" s="826">
        <x:f t="shared" si="1"/>
      </x:c>
      <x:c r="P17" s="827"/>
      <x:c r="Q17" s="828"/>
      <x:c r="R17" s="829">
        <x:f t="shared" si="2"/>
      </x:c>
      <x:c r="S17" s="830">
        <x:f t="shared" si="3"/>
      </x:c>
      <x:c r="T17" s="857"/>
      <x:c r="U17" s="820"/>
      <x:c r="V17" s="832"/>
      <x:c r="W17" s="833"/>
      <x:c r="X17" s="832"/>
      <x:c r="Y17" s="833"/>
      <x:c r="Z17" s="834"/>
      <x:c r="AA17" s="835">
        <x:f t="shared" si="5"/>
      </x:c>
      <x:c r="AB17" s="854"/>
      <x:c r="AC17" s="823"/>
      <x:c r="AD17" s="837"/>
      <x:c r="AE17" s="823"/>
      <x:c r="AF17" s="837"/>
      <x:c r="AG17" s="838"/>
      <x:c r="AH17" s="823"/>
      <x:c r="AI17" s="839"/>
      <x:c r="AJ17" s="838"/>
      <x:c r="AK17" s="839"/>
      <x:c r="AL17" s="823"/>
      <x:c r="AM17" s="840"/>
      <x:c r="AN17" s="823"/>
      <x:c r="AO17" s="841"/>
      <x:c r="AP17" s="841">
        <x:f t="shared" si="4"/>
      </x:c>
      <x:c r="AQ17" s="842"/>
      <x:c r="AR17" s="843"/>
      <x:c r="AS17" s="855"/>
      <x:c r="AT17" s="845"/>
      <x:c r="AU17" s="845"/>
      <x:c r="AV17" s="846"/>
      <x:c r="AW17" s="847"/>
      <x:c r="AX17" s="847"/>
      <x:c r="AY17" s="848"/>
      <x:c r="AZ17" s="849"/>
      <x:c r="BA17" s="827"/>
      <x:c r="BB17" s="850"/>
      <x:c r="BC17" s="851"/>
      <x:c r="BD17" s="856"/>
      <x:c r="BE17" s="853"/>
      <x:c r="BF17" s="853"/>
      <x:c r="BG17" s="853"/>
      <x:c r="BH17"/>
      <x:c r="BI17"/>
      <x:c r="BJ17"/>
      <x:c r="BK17"/>
      <x:c r="BL17"/>
      <x:c r="BM17"/>
      <x:c r="BN17"/>
      <x:c r="BO17"/>
      <x:c r="BP17"/>
      <x:c r="BQ17"/>
      <x:c r="BR17"/>
      <x:c r="BS17"/>
      <x:c r="BT17"/>
      <x:c r="BU17"/>
      <x:c r="BV17"/>
      <x:c r="BW17"/>
      <x:c r="BX17"/>
      <x:c r="BY17"/>
      <x:c r="BZ17"/>
      <x:c r="CA17"/>
      <x:c r="CB17"/>
      <x:c r="CC17"/>
      <x:c r="CD17"/>
      <x:c r="CE17"/>
      <x:c r="CF17"/>
      <x:c r="CG17"/>
      <x:c r="CH17"/>
      <x:c r="CI17"/>
      <x:c r="CJ17"/>
      <x:c r="CK17"/>
      <x:c r="CL17"/>
    </x:row>
    <x:row r="18" s="785" customFormat="1" ht="108.75" customHeight="1">
      <x:c r="A18" s="820"/>
      <x:c r="B18" s="820"/>
      <x:c r="C18" s="820"/>
      <x:c r="D18" s="821"/>
      <x:c r="E18" s="822"/>
      <x:c r="F18" s="823"/>
      <x:c r="G18" s="823"/>
      <x:c r="H18" s="821"/>
      <x:c r="I18" s="821"/>
      <x:c r="J18" s="821"/>
      <x:c r="K18" s="824"/>
      <x:c r="L18" s="825"/>
      <x:c r="M18" s="820"/>
      <x:c r="N18" s="826">
        <x:f t="shared" si="0"/>
      </x:c>
      <x:c r="O18" s="826">
        <x:f t="shared" si="1"/>
      </x:c>
      <x:c r="P18" s="827"/>
      <x:c r="Q18" s="828"/>
      <x:c r="R18" s="829">
        <x:f t="shared" si="2"/>
      </x:c>
      <x:c r="S18" s="830">
        <x:f t="shared" si="3"/>
      </x:c>
      <x:c r="T18" s="857"/>
      <x:c r="U18" s="820"/>
      <x:c r="V18" s="832"/>
      <x:c r="W18" s="833"/>
      <x:c r="X18" s="832"/>
      <x:c r="Y18" s="833"/>
      <x:c r="Z18" s="834"/>
      <x:c r="AA18" s="835">
        <x:f t="shared" si="5"/>
      </x:c>
      <x:c r="AB18" s="854"/>
      <x:c r="AC18" s="823"/>
      <x:c r="AD18" s="837"/>
      <x:c r="AE18" s="823"/>
      <x:c r="AF18" s="837"/>
      <x:c r="AG18" s="838"/>
      <x:c r="AH18" s="823"/>
      <x:c r="AI18" s="839"/>
      <x:c r="AJ18" s="838"/>
      <x:c r="AK18" s="839"/>
      <x:c r="AL18" s="823"/>
      <x:c r="AM18" s="840"/>
      <x:c r="AN18" s="823"/>
      <x:c r="AO18" s="841"/>
      <x:c r="AP18" s="841">
        <x:f t="shared" si="4"/>
      </x:c>
      <x:c r="AQ18" s="842"/>
      <x:c r="AR18" s="843"/>
      <x:c r="AS18" s="855"/>
      <x:c r="AT18" s="845"/>
      <x:c r="AU18" s="845"/>
      <x:c r="AV18" s="846"/>
      <x:c r="AW18" s="847"/>
      <x:c r="AX18" s="847"/>
      <x:c r="AY18" s="848"/>
      <x:c r="AZ18" s="849"/>
      <x:c r="BA18" s="827"/>
      <x:c r="BB18" s="850"/>
      <x:c r="BC18" s="851"/>
      <x:c r="BD18" s="856"/>
      <x:c r="BE18" s="853"/>
      <x:c r="BF18" s="853"/>
      <x:c r="BG18" s="853"/>
      <x:c r="BH18"/>
      <x:c r="BI18"/>
      <x:c r="BJ18"/>
      <x:c r="BK18"/>
      <x:c r="BL18"/>
      <x:c r="BM18"/>
      <x:c r="BN18"/>
      <x:c r="BO18"/>
      <x:c r="BP18"/>
      <x:c r="BQ18"/>
      <x:c r="BR18"/>
      <x:c r="BS18"/>
      <x:c r="BT18"/>
      <x:c r="BU18"/>
      <x:c r="BV18"/>
      <x:c r="BW18"/>
      <x:c r="BX18"/>
      <x:c r="BY18"/>
      <x:c r="BZ18"/>
      <x:c r="CA18"/>
      <x:c r="CB18"/>
      <x:c r="CC18"/>
      <x:c r="CD18"/>
      <x:c r="CE18"/>
      <x:c r="CF18"/>
      <x:c r="CG18"/>
      <x:c r="CH18"/>
      <x:c r="CI18"/>
      <x:c r="CJ18"/>
      <x:c r="CK18"/>
      <x:c r="CL18"/>
    </x:row>
    <x:row r="19" s="786" customFormat="1" ht="108.75" customHeight="1">
      <x:c r="A19" s="860"/>
      <x:c r="B19" s="860"/>
      <x:c r="C19" s="860"/>
      <x:c r="D19" s="861"/>
      <x:c r="E19" s="862"/>
      <x:c r="F19" s="863"/>
      <x:c r="G19" s="863"/>
      <x:c r="H19" s="861"/>
      <x:c r="I19" s="861"/>
      <x:c r="J19" s="861"/>
      <x:c r="K19" s="864"/>
      <x:c r="L19" s="864"/>
      <x:c r="M19" s="860"/>
      <x:c r="N19" s="865">
        <x:f t="shared" ref="N19:N38" si="6">ROUND(P19,2)</x:f>
      </x:c>
      <x:c r="O19" s="865">
        <x:f t="shared" ref="O19:O38" si="7">ROUND(Q19,2)</x:f>
      </x:c>
      <x:c r="P19" s="866"/>
      <x:c r="Q19" s="867"/>
      <x:c r="R19" s="868"/>
      <x:c r="S19" s="868">
        <x:f t="shared" si="3"/>
      </x:c>
      <x:c r="T19" s="869"/>
      <x:c r="U19" s="860"/>
      <x:c r="V19" s="870"/>
      <x:c r="W19" s="871"/>
      <x:c r="X19" s="870"/>
      <x:c r="Y19" s="871"/>
      <x:c r="Z19" s="872"/>
      <x:c r="AA19" s="873">
        <x:f t="shared" si="5"/>
      </x:c>
      <x:c r="AB19" s="874"/>
      <x:c r="AC19" s="863"/>
      <x:c r="AD19" s="875"/>
      <x:c r="AE19" s="863"/>
      <x:c r="AF19" s="875"/>
      <x:c r="AG19" s="876"/>
      <x:c r="AH19" s="863"/>
      <x:c r="AI19" s="877"/>
      <x:c r="AJ19" s="876"/>
      <x:c r="AK19" s="877"/>
      <x:c r="AL19" s="863"/>
      <x:c r="AM19" s="878"/>
      <x:c r="AN19" s="863"/>
      <x:c r="AO19" s="873"/>
      <x:c r="AP19" s="873">
        <x:f t="shared" ref="AP19:AP38" si="8">AO19*K19</x:f>
      </x:c>
      <x:c r="AQ19" s="874"/>
      <x:c r="AR19" s="879"/>
      <x:c r="AS19" s="880"/>
      <x:c r="AT19" s="881"/>
      <x:c r="AU19" s="881"/>
      <x:c r="AV19" s="863"/>
      <x:c r="AW19" s="882"/>
      <x:c r="AX19" s="882"/>
      <x:c r="AY19" s="882"/>
      <x:c r="AZ19" s="883"/>
      <x:c r="BA19" s="884"/>
      <x:c r="BB19" s="885"/>
      <x:c r="BC19" s="886"/>
      <x:c r="BD19" s="852"/>
      <x:c r="BE19" s="887"/>
      <x:c r="BF19" s="887"/>
      <x:c r="BG19" s="887"/>
      <x:c r="BH19"/>
      <x:c r="BI19"/>
      <x:c r="BJ19"/>
      <x:c r="BK19"/>
      <x:c r="BL19"/>
      <x:c r="BM19"/>
      <x:c r="BN19"/>
      <x:c r="BO19"/>
      <x:c r="BP19"/>
      <x:c r="BQ19"/>
      <x:c r="BR19"/>
      <x:c r="BS19"/>
      <x:c r="BT19"/>
      <x:c r="BU19"/>
      <x:c r="BV19"/>
      <x:c r="BW19"/>
      <x:c r="BX19"/>
      <x:c r="BY19"/>
      <x:c r="BZ19"/>
      <x:c r="CA19"/>
      <x:c r="CB19"/>
      <x:c r="CC19"/>
      <x:c r="CD19"/>
      <x:c r="CE19"/>
      <x:c r="CF19"/>
      <x:c r="CG19"/>
      <x:c r="CH19"/>
      <x:c r="CI19"/>
      <x:c r="CJ19"/>
      <x:c r="CK19"/>
      <x:c r="CL19"/>
    </x:row>
    <x:row r="20" s="786" customFormat="1" ht="108.75" customHeight="1">
      <x:c r="A20" s="860"/>
      <x:c r="B20" s="860"/>
      <x:c r="C20" s="860"/>
      <x:c r="D20" s="861"/>
      <x:c r="E20" s="862"/>
      <x:c r="F20" s="863"/>
      <x:c r="G20" s="863"/>
      <x:c r="H20" s="861"/>
      <x:c r="I20" s="861"/>
      <x:c r="J20" s="861"/>
      <x:c r="K20" s="864"/>
      <x:c r="L20" s="888"/>
      <x:c r="M20" s="860"/>
      <x:c r="N20" s="865">
        <x:f t="shared" si="6"/>
      </x:c>
      <x:c r="O20" s="865">
        <x:f t="shared" si="7"/>
      </x:c>
      <x:c r="P20" s="866"/>
      <x:c r="Q20" s="867"/>
      <x:c r="R20" s="868"/>
      <x:c r="S20" s="868">
        <x:f t="shared" si="3"/>
      </x:c>
      <x:c r="T20" s="889"/>
      <x:c r="U20" s="860"/>
      <x:c r="V20" s="870"/>
      <x:c r="W20" s="871"/>
      <x:c r="X20" s="870"/>
      <x:c r="Y20" s="871"/>
      <x:c r="Z20" s="872">
        <x:f t="shared" ref="Z20:Z38" si="9">AO20</x:f>
      </x:c>
      <x:c r="AA20" s="873">
        <x:f t="shared" ref="AA20:AA38" si="10">Z20*K20</x:f>
      </x:c>
      <x:c r="AB20" s="890"/>
      <x:c r="AC20" s="863"/>
      <x:c r="AD20" s="875"/>
      <x:c r="AE20" s="863"/>
      <x:c r="AF20" s="875"/>
      <x:c r="AG20" s="876"/>
      <x:c r="AH20" s="863"/>
      <x:c r="AI20" s="877"/>
      <x:c r="AJ20" s="876"/>
      <x:c r="AK20" s="877"/>
      <x:c r="AL20" s="863"/>
      <x:c r="AM20" s="878"/>
      <x:c r="AN20" s="863"/>
      <x:c r="AO20" s="873"/>
      <x:c r="AP20" s="873">
        <x:f t="shared" si="8"/>
      </x:c>
      <x:c r="AQ20" s="890"/>
      <x:c r="AR20" s="879"/>
      <x:c r="AS20" s="891"/>
      <x:c r="AT20" s="881"/>
      <x:c r="AU20" s="881"/>
      <x:c r="AV20" s="863"/>
      <x:c r="AW20" s="882"/>
      <x:c r="AX20" s="882"/>
      <x:c r="AY20" s="882"/>
      <x:c r="AZ20" s="883"/>
      <x:c r="BA20" s="884"/>
      <x:c r="BB20" s="885"/>
      <x:c r="BC20" s="886"/>
      <x:c r="BD20" s="856"/>
      <x:c r="BE20" s="887"/>
      <x:c r="BF20" s="887"/>
      <x:c r="BG20" s="887"/>
      <x:c r="BH20"/>
      <x:c r="BI20"/>
      <x:c r="BJ20"/>
      <x:c r="BK20"/>
      <x:c r="BL20"/>
      <x:c r="BM20"/>
      <x:c r="BN20"/>
      <x:c r="BO20"/>
      <x:c r="BP20"/>
      <x:c r="BQ20"/>
      <x:c r="BR20"/>
      <x:c r="BS20"/>
      <x:c r="BT20"/>
      <x:c r="BU20"/>
      <x:c r="BV20"/>
      <x:c r="BW20"/>
      <x:c r="BX20"/>
      <x:c r="BY20"/>
      <x:c r="BZ20"/>
      <x:c r="CA20"/>
      <x:c r="CB20"/>
      <x:c r="CC20"/>
      <x:c r="CD20"/>
      <x:c r="CE20"/>
      <x:c r="CF20"/>
      <x:c r="CG20"/>
      <x:c r="CH20"/>
      <x:c r="CI20"/>
      <x:c r="CJ20"/>
      <x:c r="CK20"/>
      <x:c r="CL20"/>
    </x:row>
    <x:row r="21" s="786" customFormat="1" ht="108.75" customHeight="1">
      <x:c r="A21" s="860"/>
      <x:c r="B21" s="860"/>
      <x:c r="C21" s="860"/>
      <x:c r="D21" s="861"/>
      <x:c r="E21" s="862"/>
      <x:c r="F21" s="863"/>
      <x:c r="G21" s="863"/>
      <x:c r="H21" s="892"/>
      <x:c r="I21" s="861"/>
      <x:c r="J21" s="861"/>
      <x:c r="K21" s="864"/>
      <x:c r="L21" s="888"/>
      <x:c r="M21" s="860"/>
      <x:c r="N21" s="865">
        <x:f t="shared" si="6"/>
      </x:c>
      <x:c r="O21" s="865">
        <x:f t="shared" si="7"/>
      </x:c>
      <x:c r="P21" s="884"/>
      <x:c r="Q21" s="893"/>
      <x:c r="R21" s="894"/>
      <x:c r="S21" s="895"/>
      <x:c r="T21" s="896"/>
      <x:c r="U21" s="860"/>
      <x:c r="V21" s="870"/>
      <x:c r="W21" s="871"/>
      <x:c r="X21" s="870"/>
      <x:c r="Y21" s="871"/>
      <x:c r="Z21" s="872">
        <x:f t="shared" si="9"/>
      </x:c>
      <x:c r="AA21" s="873">
        <x:f t="shared" si="10"/>
      </x:c>
      <x:c r="AB21" s="890"/>
      <x:c r="AC21" s="863"/>
      <x:c r="AD21" s="875"/>
      <x:c r="AE21" s="863"/>
      <x:c r="AF21" s="875"/>
      <x:c r="AG21" s="876"/>
      <x:c r="AH21" s="863"/>
      <x:c r="AI21" s="877"/>
      <x:c r="AJ21" s="876"/>
      <x:c r="AK21" s="877"/>
      <x:c r="AL21" s="863"/>
      <x:c r="AM21" s="878"/>
      <x:c r="AN21" s="863"/>
      <x:c r="AO21" s="873"/>
      <x:c r="AP21" s="873">
        <x:f t="shared" si="8"/>
      </x:c>
      <x:c r="AQ21" s="890"/>
      <x:c r="AR21" s="879"/>
      <x:c r="AS21" s="880"/>
      <x:c r="AT21" s="897"/>
      <x:c r="AU21" s="897"/>
      <x:c r="AV21" s="898"/>
      <x:c r="AW21" s="899"/>
      <x:c r="AX21" s="899"/>
      <x:c r="AY21" s="882"/>
      <x:c r="AZ21" s="883"/>
      <x:c r="BA21" s="884"/>
      <x:c r="BB21" s="885"/>
      <x:c r="BC21" s="886"/>
      <x:c r="BD21" s="856"/>
      <x:c r="BE21" s="887"/>
      <x:c r="BF21" s="887"/>
      <x:c r="BG21" s="887"/>
      <x:c r="BH21"/>
      <x:c r="BI21"/>
      <x:c r="BJ21"/>
      <x:c r="BK21"/>
      <x:c r="BL21"/>
      <x:c r="BM21"/>
      <x:c r="BN21"/>
      <x:c r="BO21"/>
      <x:c r="BP21"/>
      <x:c r="BQ21"/>
      <x:c r="BR21"/>
      <x:c r="BS21"/>
      <x:c r="BT21"/>
      <x:c r="BU21"/>
      <x:c r="BV21"/>
      <x:c r="BW21"/>
      <x:c r="BX21"/>
      <x:c r="BY21"/>
      <x:c r="BZ21"/>
      <x:c r="CA21"/>
      <x:c r="CB21"/>
      <x:c r="CC21"/>
      <x:c r="CD21"/>
      <x:c r="CE21"/>
      <x:c r="CF21"/>
      <x:c r="CG21"/>
      <x:c r="CH21"/>
      <x:c r="CI21"/>
      <x:c r="CJ21"/>
      <x:c r="CK21"/>
      <x:c r="CL21"/>
    </x:row>
    <x:row r="22" s="786" customFormat="1" ht="108.75" customHeight="1">
      <x:c r="A22" s="860"/>
      <x:c r="B22" s="860"/>
      <x:c r="C22" s="860"/>
      <x:c r="D22" s="861"/>
      <x:c r="E22" s="862"/>
      <x:c r="F22" s="863"/>
      <x:c r="G22" s="863"/>
      <x:c r="H22" s="892"/>
      <x:c r="I22" s="861"/>
      <x:c r="J22" s="861"/>
      <x:c r="K22" s="864"/>
      <x:c r="L22" s="888"/>
      <x:c r="M22" s="860"/>
      <x:c r="N22" s="865">
        <x:f t="shared" si="6"/>
      </x:c>
      <x:c r="O22" s="865">
        <x:f t="shared" si="7"/>
      </x:c>
      <x:c r="P22" s="884"/>
      <x:c r="Q22" s="893"/>
      <x:c r="R22" s="900"/>
      <x:c r="S22" s="901"/>
      <x:c r="T22" s="896"/>
      <x:c r="U22" s="860"/>
      <x:c r="V22" s="870"/>
      <x:c r="W22" s="871"/>
      <x:c r="X22" s="870"/>
      <x:c r="Y22" s="871"/>
      <x:c r="Z22" s="872">
        <x:f t="shared" si="9"/>
      </x:c>
      <x:c r="AA22" s="873">
        <x:f t="shared" si="10"/>
      </x:c>
      <x:c r="AB22" s="890"/>
      <x:c r="AC22" s="863"/>
      <x:c r="AD22" s="875"/>
      <x:c r="AE22" s="863"/>
      <x:c r="AF22" s="875"/>
      <x:c r="AG22" s="876"/>
      <x:c r="AH22" s="863"/>
      <x:c r="AI22" s="877"/>
      <x:c r="AJ22" s="876"/>
      <x:c r="AK22" s="877"/>
      <x:c r="AL22" s="863"/>
      <x:c r="AM22" s="878"/>
      <x:c r="AN22" s="863"/>
      <x:c r="AO22" s="873"/>
      <x:c r="AP22" s="873">
        <x:f t="shared" si="8"/>
      </x:c>
      <x:c r="AQ22" s="890"/>
      <x:c r="AR22" s="879"/>
      <x:c r="AS22" s="902"/>
      <x:c r="AT22" s="903"/>
      <x:c r="AU22" s="903"/>
      <x:c r="AV22" s="904"/>
      <x:c r="AW22" s="905"/>
      <x:c r="AX22" s="905"/>
      <x:c r="AY22" s="882"/>
      <x:c r="AZ22" s="883"/>
      <x:c r="BA22" s="884"/>
      <x:c r="BB22" s="885"/>
      <x:c r="BC22" s="886"/>
      <x:c r="BD22" s="856"/>
      <x:c r="BE22" s="887"/>
      <x:c r="BF22" s="887"/>
      <x:c r="BG22" s="887"/>
      <x:c r="BH22"/>
      <x:c r="BI22"/>
      <x:c r="BJ22"/>
      <x:c r="BK22"/>
      <x:c r="BL22"/>
      <x:c r="BM22"/>
      <x:c r="BN22"/>
      <x:c r="BO22"/>
      <x:c r="BP22"/>
      <x:c r="BQ22"/>
      <x:c r="BR22"/>
      <x:c r="BS22"/>
      <x:c r="BT22"/>
      <x:c r="BU22"/>
      <x:c r="BV22"/>
      <x:c r="BW22"/>
      <x:c r="BX22"/>
      <x:c r="BY22"/>
      <x:c r="BZ22"/>
      <x:c r="CA22"/>
      <x:c r="CB22"/>
      <x:c r="CC22"/>
      <x:c r="CD22"/>
      <x:c r="CE22"/>
      <x:c r="CF22"/>
      <x:c r="CG22"/>
      <x:c r="CH22"/>
      <x:c r="CI22"/>
      <x:c r="CJ22"/>
      <x:c r="CK22"/>
      <x:c r="CL22"/>
    </x:row>
    <x:row r="23" s="786" customFormat="1" ht="108.75" customHeight="1">
      <x:c r="A23" s="860"/>
      <x:c r="B23" s="860"/>
      <x:c r="C23" s="860"/>
      <x:c r="D23" s="861"/>
      <x:c r="E23" s="862"/>
      <x:c r="F23" s="863"/>
      <x:c r="G23" s="863"/>
      <x:c r="H23" s="892"/>
      <x:c r="I23" s="861"/>
      <x:c r="J23" s="861"/>
      <x:c r="K23" s="864"/>
      <x:c r="L23" s="888"/>
      <x:c r="M23" s="860"/>
      <x:c r="N23" s="865">
        <x:f t="shared" si="6"/>
      </x:c>
      <x:c r="O23" s="865">
        <x:f t="shared" si="7"/>
      </x:c>
      <x:c r="P23" s="884"/>
      <x:c r="Q23" s="893"/>
      <x:c r="R23" s="900"/>
      <x:c r="S23" s="901"/>
      <x:c r="T23" s="896"/>
      <x:c r="U23" s="860"/>
      <x:c r="V23" s="870"/>
      <x:c r="W23" s="871"/>
      <x:c r="X23" s="870"/>
      <x:c r="Y23" s="871"/>
      <x:c r="Z23" s="872">
        <x:f t="shared" si="9"/>
      </x:c>
      <x:c r="AA23" s="873">
        <x:f t="shared" si="10"/>
      </x:c>
      <x:c r="AB23" s="890"/>
      <x:c r="AC23" s="863"/>
      <x:c r="AD23" s="875"/>
      <x:c r="AE23" s="863"/>
      <x:c r="AF23" s="875"/>
      <x:c r="AG23" s="876"/>
      <x:c r="AH23" s="863"/>
      <x:c r="AI23" s="877"/>
      <x:c r="AJ23" s="876"/>
      <x:c r="AK23" s="877"/>
      <x:c r="AL23" s="863"/>
      <x:c r="AM23" s="878"/>
      <x:c r="AN23" s="863"/>
      <x:c r="AO23" s="873"/>
      <x:c r="AP23" s="873">
        <x:f t="shared" si="8"/>
      </x:c>
      <x:c r="AQ23" s="890"/>
      <x:c r="AR23" s="879"/>
      <x:c r="AS23" s="902"/>
      <x:c r="AT23" s="903"/>
      <x:c r="AU23" s="903"/>
      <x:c r="AV23" s="904"/>
      <x:c r="AW23" s="905"/>
      <x:c r="AX23" s="905"/>
      <x:c r="AY23" s="882"/>
      <x:c r="AZ23" s="883"/>
      <x:c r="BA23" s="884"/>
      <x:c r="BB23" s="885"/>
      <x:c r="BC23" s="886"/>
      <x:c r="BD23" s="856"/>
      <x:c r="BE23" s="887"/>
      <x:c r="BF23" s="887"/>
      <x:c r="BG23" s="887"/>
      <x:c r="BH23"/>
      <x:c r="BI23"/>
      <x:c r="BJ23"/>
      <x:c r="BK23"/>
      <x:c r="BL23"/>
      <x:c r="BM23"/>
      <x:c r="BN23"/>
      <x:c r="BO23"/>
      <x:c r="BP23"/>
      <x:c r="BQ23"/>
      <x:c r="BR23"/>
      <x:c r="BS23"/>
      <x:c r="BT23"/>
      <x:c r="BU23"/>
      <x:c r="BV23"/>
      <x:c r="BW23"/>
      <x:c r="BX23"/>
      <x:c r="BY23"/>
      <x:c r="BZ23"/>
      <x:c r="CA23"/>
      <x:c r="CB23"/>
      <x:c r="CC23"/>
      <x:c r="CD23"/>
      <x:c r="CE23"/>
      <x:c r="CF23"/>
      <x:c r="CG23"/>
      <x:c r="CH23"/>
      <x:c r="CI23"/>
      <x:c r="CJ23"/>
      <x:c r="CK23"/>
      <x:c r="CL23"/>
    </x:row>
    <x:row r="24" s="786" customFormat="1" ht="108.75" customHeight="1">
      <x:c r="A24" s="860"/>
      <x:c r="B24" s="860"/>
      <x:c r="C24" s="860"/>
      <x:c r="D24" s="861"/>
      <x:c r="E24" s="862"/>
      <x:c r="F24" s="863"/>
      <x:c r="G24" s="863"/>
      <x:c r="H24" s="892"/>
      <x:c r="I24" s="861"/>
      <x:c r="J24" s="861"/>
      <x:c r="K24" s="864"/>
      <x:c r="L24" s="888"/>
      <x:c r="M24" s="860"/>
      <x:c r="N24" s="865">
        <x:f t="shared" si="6"/>
      </x:c>
      <x:c r="O24" s="865">
        <x:f t="shared" si="7"/>
      </x:c>
      <x:c r="P24" s="884"/>
      <x:c r="Q24" s="893"/>
      <x:c r="R24" s="900"/>
      <x:c r="S24" s="901"/>
      <x:c r="T24" s="896"/>
      <x:c r="U24" s="860"/>
      <x:c r="V24" s="870"/>
      <x:c r="W24" s="871"/>
      <x:c r="X24" s="870"/>
      <x:c r="Y24" s="871"/>
      <x:c r="Z24" s="872">
        <x:f t="shared" si="9"/>
      </x:c>
      <x:c r="AA24" s="873">
        <x:f t="shared" si="10"/>
      </x:c>
      <x:c r="AB24" s="890"/>
      <x:c r="AC24" s="863"/>
      <x:c r="AD24" s="875"/>
      <x:c r="AE24" s="863"/>
      <x:c r="AF24" s="875"/>
      <x:c r="AG24" s="876"/>
      <x:c r="AH24" s="863"/>
      <x:c r="AI24" s="877"/>
      <x:c r="AJ24" s="876"/>
      <x:c r="AK24" s="877"/>
      <x:c r="AL24" s="863"/>
      <x:c r="AM24" s="878"/>
      <x:c r="AN24" s="863"/>
      <x:c r="AO24" s="873"/>
      <x:c r="AP24" s="873">
        <x:f t="shared" si="8"/>
      </x:c>
      <x:c r="AQ24" s="890"/>
      <x:c r="AR24" s="879"/>
      <x:c r="AS24" s="902"/>
      <x:c r="AT24" s="903"/>
      <x:c r="AU24" s="903"/>
      <x:c r="AV24" s="904"/>
      <x:c r="AW24" s="905"/>
      <x:c r="AX24" s="905"/>
      <x:c r="AY24" s="882"/>
      <x:c r="AZ24" s="883"/>
      <x:c r="BA24" s="884"/>
      <x:c r="BB24" s="885"/>
      <x:c r="BC24" s="886"/>
      <x:c r="BD24" s="856"/>
      <x:c r="BE24" s="887"/>
      <x:c r="BF24" s="887"/>
      <x:c r="BG24" s="887"/>
      <x:c r="BH24"/>
      <x:c r="BI24"/>
      <x:c r="BJ24"/>
      <x:c r="BK24"/>
      <x:c r="BL24"/>
      <x:c r="BM24"/>
      <x:c r="BN24"/>
      <x:c r="BO24"/>
      <x:c r="BP24"/>
      <x:c r="BQ24"/>
      <x:c r="BR24"/>
      <x:c r="BS24"/>
      <x:c r="BT24"/>
      <x:c r="BU24"/>
      <x:c r="BV24"/>
      <x:c r="BW24"/>
      <x:c r="BX24"/>
      <x:c r="BY24"/>
      <x:c r="BZ24"/>
      <x:c r="CA24"/>
      <x:c r="CB24"/>
      <x:c r="CC24"/>
      <x:c r="CD24"/>
      <x:c r="CE24"/>
      <x:c r="CF24"/>
      <x:c r="CG24"/>
      <x:c r="CH24"/>
      <x:c r="CI24"/>
      <x:c r="CJ24"/>
      <x:c r="CK24"/>
      <x:c r="CL24"/>
    </x:row>
    <x:row r="25" s="786" customFormat="1" ht="108.75" customHeight="1">
      <x:c r="A25" s="860"/>
      <x:c r="B25" s="860"/>
      <x:c r="C25" s="860"/>
      <x:c r="D25" s="861"/>
      <x:c r="E25" s="862"/>
      <x:c r="F25" s="863"/>
      <x:c r="G25" s="863"/>
      <x:c r="H25" s="892"/>
      <x:c r="I25" s="861"/>
      <x:c r="J25" s="861"/>
      <x:c r="K25" s="864"/>
      <x:c r="L25" s="888"/>
      <x:c r="M25" s="860"/>
      <x:c r="N25" s="865">
        <x:f t="shared" si="6"/>
      </x:c>
      <x:c r="O25" s="865">
        <x:f t="shared" si="7"/>
      </x:c>
      <x:c r="P25" s="884"/>
      <x:c r="Q25" s="893"/>
      <x:c r="R25" s="900"/>
      <x:c r="S25" s="901"/>
      <x:c r="T25" s="896"/>
      <x:c r="U25" s="860"/>
      <x:c r="V25" s="870"/>
      <x:c r="W25" s="871"/>
      <x:c r="X25" s="870"/>
      <x:c r="Y25" s="871"/>
      <x:c r="Z25" s="872">
        <x:f t="shared" si="9"/>
      </x:c>
      <x:c r="AA25" s="873">
        <x:f t="shared" si="10"/>
      </x:c>
      <x:c r="AB25" s="890"/>
      <x:c r="AC25" s="863"/>
      <x:c r="AD25" s="875"/>
      <x:c r="AE25" s="863"/>
      <x:c r="AF25" s="875"/>
      <x:c r="AG25" s="876"/>
      <x:c r="AH25" s="863"/>
      <x:c r="AI25" s="877"/>
      <x:c r="AJ25" s="876"/>
      <x:c r="AK25" s="877"/>
      <x:c r="AL25" s="863"/>
      <x:c r="AM25" s="878"/>
      <x:c r="AN25" s="863"/>
      <x:c r="AO25" s="873"/>
      <x:c r="AP25" s="873">
        <x:f t="shared" si="8"/>
      </x:c>
      <x:c r="AQ25" s="890"/>
      <x:c r="AR25" s="879"/>
      <x:c r="AS25" s="902"/>
      <x:c r="AT25" s="903"/>
      <x:c r="AU25" s="903"/>
      <x:c r="AV25" s="904"/>
      <x:c r="AW25" s="905"/>
      <x:c r="AX25" s="905"/>
      <x:c r="AY25" s="882"/>
      <x:c r="AZ25" s="883"/>
      <x:c r="BA25" s="884"/>
      <x:c r="BB25" s="885"/>
      <x:c r="BC25" s="886"/>
      <x:c r="BD25" s="856"/>
      <x:c r="BE25" s="887"/>
      <x:c r="BF25" s="887"/>
      <x:c r="BG25" s="887"/>
      <x:c r="BH25"/>
      <x:c r="BI25"/>
      <x:c r="BJ25"/>
      <x:c r="BK25"/>
      <x:c r="BL25"/>
      <x:c r="BM25"/>
      <x:c r="BN25"/>
      <x:c r="BO25"/>
      <x:c r="BP25"/>
      <x:c r="BQ25"/>
      <x:c r="BR25"/>
      <x:c r="BS25"/>
      <x:c r="BT25"/>
      <x:c r="BU25"/>
      <x:c r="BV25"/>
      <x:c r="BW25"/>
      <x:c r="BX25"/>
      <x:c r="BY25"/>
      <x:c r="BZ25"/>
      <x:c r="CA25"/>
      <x:c r="CB25"/>
      <x:c r="CC25"/>
      <x:c r="CD25"/>
      <x:c r="CE25"/>
      <x:c r="CF25"/>
      <x:c r="CG25"/>
      <x:c r="CH25"/>
      <x:c r="CI25"/>
      <x:c r="CJ25"/>
      <x:c r="CK25"/>
      <x:c r="CL25"/>
    </x:row>
    <x:row r="26" s="786" customFormat="1" ht="108.75" customHeight="1">
      <x:c r="A26" s="860"/>
      <x:c r="B26" s="860"/>
      <x:c r="C26" s="860"/>
      <x:c r="D26" s="861"/>
      <x:c r="E26" s="862"/>
      <x:c r="F26" s="863"/>
      <x:c r="G26" s="863"/>
      <x:c r="H26" s="892"/>
      <x:c r="I26" s="861"/>
      <x:c r="J26" s="861"/>
      <x:c r="K26" s="864"/>
      <x:c r="L26" s="888"/>
      <x:c r="M26" s="860"/>
      <x:c r="N26" s="865">
        <x:f t="shared" si="6"/>
      </x:c>
      <x:c r="O26" s="865">
        <x:f t="shared" si="7"/>
      </x:c>
      <x:c r="P26" s="884"/>
      <x:c r="Q26" s="893"/>
      <x:c r="R26" s="900"/>
      <x:c r="S26" s="901"/>
      <x:c r="T26" s="896"/>
      <x:c r="U26" s="860"/>
      <x:c r="V26" s="870"/>
      <x:c r="W26" s="871"/>
      <x:c r="X26" s="870"/>
      <x:c r="Y26" s="871"/>
      <x:c r="Z26" s="872">
        <x:f t="shared" si="9"/>
      </x:c>
      <x:c r="AA26" s="873">
        <x:f t="shared" si="10"/>
      </x:c>
      <x:c r="AB26" s="890"/>
      <x:c r="AC26" s="863"/>
      <x:c r="AD26" s="875"/>
      <x:c r="AE26" s="863"/>
      <x:c r="AF26" s="875"/>
      <x:c r="AG26" s="876"/>
      <x:c r="AH26" s="863"/>
      <x:c r="AI26" s="877"/>
      <x:c r="AJ26" s="876"/>
      <x:c r="AK26" s="877"/>
      <x:c r="AL26" s="863"/>
      <x:c r="AM26" s="878"/>
      <x:c r="AN26" s="863"/>
      <x:c r="AO26" s="873"/>
      <x:c r="AP26" s="873">
        <x:f t="shared" si="8"/>
      </x:c>
      <x:c r="AQ26" s="890"/>
      <x:c r="AR26" s="879"/>
      <x:c r="AS26" s="902"/>
      <x:c r="AT26" s="903"/>
      <x:c r="AU26" s="903"/>
      <x:c r="AV26" s="904"/>
      <x:c r="AW26" s="905"/>
      <x:c r="AX26" s="905"/>
      <x:c r="AY26" s="882"/>
      <x:c r="AZ26" s="883"/>
      <x:c r="BA26" s="884"/>
      <x:c r="BB26" s="885"/>
      <x:c r="BC26" s="886"/>
      <x:c r="BD26" s="856"/>
      <x:c r="BE26" s="887"/>
      <x:c r="BF26" s="887"/>
      <x:c r="BG26" s="887"/>
      <x:c r="BH26"/>
      <x:c r="BI26"/>
      <x:c r="BJ26"/>
      <x:c r="BK26"/>
      <x:c r="BL26"/>
      <x:c r="BM26"/>
      <x:c r="BN26"/>
      <x:c r="BO26"/>
      <x:c r="BP26"/>
      <x:c r="BQ26"/>
      <x:c r="BR26"/>
      <x:c r="BS26"/>
      <x:c r="BT26"/>
      <x:c r="BU26"/>
      <x:c r="BV26"/>
      <x:c r="BW26"/>
      <x:c r="BX26"/>
      <x:c r="BY26"/>
      <x:c r="BZ26"/>
      <x:c r="CA26"/>
      <x:c r="CB26"/>
      <x:c r="CC26"/>
      <x:c r="CD26"/>
      <x:c r="CE26"/>
      <x:c r="CF26"/>
      <x:c r="CG26"/>
      <x:c r="CH26"/>
      <x:c r="CI26"/>
      <x:c r="CJ26"/>
      <x:c r="CK26"/>
      <x:c r="CL26"/>
    </x:row>
    <x:row r="27" s="786" customFormat="1" ht="108.75" customHeight="1">
      <x:c r="A27" s="860"/>
      <x:c r="B27" s="860"/>
      <x:c r="C27" s="860"/>
      <x:c r="D27" s="861"/>
      <x:c r="E27" s="862"/>
      <x:c r="F27" s="863"/>
      <x:c r="G27" s="863"/>
      <x:c r="H27" s="892"/>
      <x:c r="I27" s="861"/>
      <x:c r="J27" s="861"/>
      <x:c r="K27" s="864"/>
      <x:c r="L27" s="888"/>
      <x:c r="M27" s="860"/>
      <x:c r="N27" s="865">
        <x:f t="shared" si="6"/>
      </x:c>
      <x:c r="O27" s="865">
        <x:f t="shared" si="7"/>
      </x:c>
      <x:c r="P27" s="884"/>
      <x:c r="Q27" s="893"/>
      <x:c r="R27" s="900"/>
      <x:c r="S27" s="901"/>
      <x:c r="T27" s="896"/>
      <x:c r="U27" s="860"/>
      <x:c r="V27" s="870"/>
      <x:c r="W27" s="871"/>
      <x:c r="X27" s="870"/>
      <x:c r="Y27" s="871"/>
      <x:c r="Z27" s="872">
        <x:f t="shared" si="9"/>
      </x:c>
      <x:c r="AA27" s="873">
        <x:f t="shared" si="10"/>
      </x:c>
      <x:c r="AB27" s="890"/>
      <x:c r="AC27" s="863"/>
      <x:c r="AD27" s="875"/>
      <x:c r="AE27" s="863"/>
      <x:c r="AF27" s="875"/>
      <x:c r="AG27" s="876"/>
      <x:c r="AH27" s="863"/>
      <x:c r="AI27" s="877"/>
      <x:c r="AJ27" s="876"/>
      <x:c r="AK27" s="877"/>
      <x:c r="AL27" s="863"/>
      <x:c r="AM27" s="878"/>
      <x:c r="AN27" s="863"/>
      <x:c r="AO27" s="873"/>
      <x:c r="AP27" s="873">
        <x:f t="shared" si="8"/>
      </x:c>
      <x:c r="AQ27" s="890"/>
      <x:c r="AR27" s="879"/>
      <x:c r="AS27" s="902"/>
      <x:c r="AT27" s="903"/>
      <x:c r="AU27" s="903"/>
      <x:c r="AV27" s="904"/>
      <x:c r="AW27" s="905"/>
      <x:c r="AX27" s="905"/>
      <x:c r="AY27" s="882"/>
      <x:c r="AZ27" s="883"/>
      <x:c r="BA27" s="884"/>
      <x:c r="BB27" s="885"/>
      <x:c r="BC27" s="886"/>
      <x:c r="BD27" s="856"/>
      <x:c r="BE27" s="887"/>
      <x:c r="BF27" s="887"/>
      <x:c r="BG27" s="887"/>
      <x:c r="BH27"/>
      <x:c r="BI27"/>
      <x:c r="BJ27"/>
      <x:c r="BK27"/>
      <x:c r="BL27"/>
      <x:c r="BM27"/>
      <x:c r="BN27"/>
      <x:c r="BO27"/>
      <x:c r="BP27"/>
      <x:c r="BQ27"/>
      <x:c r="BR27"/>
      <x:c r="BS27"/>
      <x:c r="BT27"/>
      <x:c r="BU27"/>
      <x:c r="BV27"/>
      <x:c r="BW27"/>
      <x:c r="BX27"/>
      <x:c r="BY27"/>
      <x:c r="BZ27"/>
      <x:c r="CA27"/>
      <x:c r="CB27"/>
      <x:c r="CC27"/>
      <x:c r="CD27"/>
      <x:c r="CE27"/>
      <x:c r="CF27"/>
      <x:c r="CG27"/>
      <x:c r="CH27"/>
      <x:c r="CI27"/>
      <x:c r="CJ27"/>
      <x:c r="CK27"/>
      <x:c r="CL27"/>
    </x:row>
    <x:row r="28" s="786" customFormat="1" ht="108.75" customHeight="1">
      <x:c r="A28" s="860"/>
      <x:c r="B28" s="860"/>
      <x:c r="C28" s="860"/>
      <x:c r="D28" s="861"/>
      <x:c r="E28" s="862"/>
      <x:c r="F28" s="863"/>
      <x:c r="G28" s="863"/>
      <x:c r="H28" s="861"/>
      <x:c r="I28" s="861"/>
      <x:c r="J28" s="861"/>
      <x:c r="K28" s="864"/>
      <x:c r="L28" s="888"/>
      <x:c r="M28" s="860"/>
      <x:c r="N28" s="865">
        <x:f t="shared" si="6"/>
      </x:c>
      <x:c r="O28" s="865">
        <x:f t="shared" si="7"/>
      </x:c>
      <x:c r="P28" s="884"/>
      <x:c r="Q28" s="893"/>
      <x:c r="R28" s="900"/>
      <x:c r="S28" s="901"/>
      <x:c r="T28" s="896"/>
      <x:c r="U28" s="860"/>
      <x:c r="V28" s="870"/>
      <x:c r="W28" s="871"/>
      <x:c r="X28" s="870"/>
      <x:c r="Y28" s="871"/>
      <x:c r="Z28" s="872">
        <x:f t="shared" si="9"/>
      </x:c>
      <x:c r="AA28" s="873">
        <x:f t="shared" si="10"/>
      </x:c>
      <x:c r="AB28" s="890"/>
      <x:c r="AC28" s="863"/>
      <x:c r="AD28" s="875"/>
      <x:c r="AE28" s="863"/>
      <x:c r="AF28" s="875"/>
      <x:c r="AG28" s="876"/>
      <x:c r="AH28" s="863"/>
      <x:c r="AI28" s="877"/>
      <x:c r="AJ28" s="876"/>
      <x:c r="AK28" s="877"/>
      <x:c r="AL28" s="863"/>
      <x:c r="AM28" s="878"/>
      <x:c r="AN28" s="863"/>
      <x:c r="AO28" s="873"/>
      <x:c r="AP28" s="873">
        <x:f t="shared" si="8"/>
      </x:c>
      <x:c r="AQ28" s="890"/>
      <x:c r="AR28" s="879"/>
      <x:c r="AS28" s="902"/>
      <x:c r="AT28" s="903"/>
      <x:c r="AU28" s="903"/>
      <x:c r="AV28" s="904"/>
      <x:c r="AW28" s="905"/>
      <x:c r="AX28" s="905"/>
      <x:c r="AY28" s="882"/>
      <x:c r="AZ28" s="883"/>
      <x:c r="BA28" s="884"/>
      <x:c r="BB28" s="885"/>
      <x:c r="BC28" s="886"/>
      <x:c r="BD28" s="856"/>
      <x:c r="BE28" s="887"/>
      <x:c r="BF28" s="887"/>
      <x:c r="BG28" s="887"/>
      <x:c r="BH28"/>
      <x:c r="BI28"/>
      <x:c r="BJ28"/>
      <x:c r="BK28"/>
      <x:c r="BL28"/>
      <x:c r="BM28"/>
      <x:c r="BN28"/>
      <x:c r="BO28"/>
      <x:c r="BP28"/>
      <x:c r="BQ28"/>
      <x:c r="BR28"/>
      <x:c r="BS28"/>
      <x:c r="BT28"/>
      <x:c r="BU28"/>
      <x:c r="BV28"/>
      <x:c r="BW28"/>
      <x:c r="BX28"/>
      <x:c r="BY28"/>
      <x:c r="BZ28"/>
      <x:c r="CA28"/>
      <x:c r="CB28"/>
      <x:c r="CC28"/>
      <x:c r="CD28"/>
      <x:c r="CE28"/>
      <x:c r="CF28"/>
      <x:c r="CG28"/>
      <x:c r="CH28"/>
      <x:c r="CI28"/>
      <x:c r="CJ28"/>
      <x:c r="CK28"/>
      <x:c r="CL28"/>
    </x:row>
    <x:row r="29" s="786" customFormat="1" ht="108.75" customHeight="1">
      <x:c r="A29" s="860"/>
      <x:c r="B29" s="860"/>
      <x:c r="C29" s="860"/>
      <x:c r="D29" s="861"/>
      <x:c r="E29" s="862"/>
      <x:c r="F29" s="863"/>
      <x:c r="G29" s="863"/>
      <x:c r="H29" s="861"/>
      <x:c r="I29" s="861"/>
      <x:c r="J29" s="861"/>
      <x:c r="K29" s="864"/>
      <x:c r="L29" s="888"/>
      <x:c r="M29" s="860"/>
      <x:c r="N29" s="865">
        <x:f t="shared" si="6"/>
      </x:c>
      <x:c r="O29" s="865">
        <x:f t="shared" si="7"/>
      </x:c>
      <x:c r="P29" s="884"/>
      <x:c r="Q29" s="893"/>
      <x:c r="R29" s="900"/>
      <x:c r="S29" s="901"/>
      <x:c r="T29" s="896"/>
      <x:c r="U29" s="860"/>
      <x:c r="V29" s="870"/>
      <x:c r="W29" s="871"/>
      <x:c r="X29" s="870"/>
      <x:c r="Y29" s="871"/>
      <x:c r="Z29" s="872">
        <x:f t="shared" si="9"/>
      </x:c>
      <x:c r="AA29" s="873">
        <x:f t="shared" si="10"/>
      </x:c>
      <x:c r="AB29" s="890"/>
      <x:c r="AC29" s="863"/>
      <x:c r="AD29" s="875"/>
      <x:c r="AE29" s="863"/>
      <x:c r="AF29" s="875"/>
      <x:c r="AG29" s="876"/>
      <x:c r="AH29" s="863"/>
      <x:c r="AI29" s="877"/>
      <x:c r="AJ29" s="876"/>
      <x:c r="AK29" s="877"/>
      <x:c r="AL29" s="863"/>
      <x:c r="AM29" s="878"/>
      <x:c r="AN29" s="863"/>
      <x:c r="AO29" s="873"/>
      <x:c r="AP29" s="873">
        <x:f t="shared" si="8"/>
      </x:c>
      <x:c r="AQ29" s="890"/>
      <x:c r="AR29" s="879"/>
      <x:c r="AS29" s="902"/>
      <x:c r="AT29" s="903"/>
      <x:c r="AU29" s="903"/>
      <x:c r="AV29" s="904"/>
      <x:c r="AW29" s="905"/>
      <x:c r="AX29" s="905"/>
      <x:c r="AY29" s="882"/>
      <x:c r="AZ29" s="883"/>
      <x:c r="BA29" s="884"/>
      <x:c r="BB29" s="885"/>
      <x:c r="BC29" s="886"/>
      <x:c r="BD29" s="856"/>
      <x:c r="BE29" s="887"/>
      <x:c r="BF29" s="887"/>
      <x:c r="BG29" s="887"/>
      <x:c r="BH29"/>
      <x:c r="BI29"/>
      <x:c r="BJ29"/>
      <x:c r="BK29"/>
      <x:c r="BL29"/>
      <x:c r="BM29"/>
      <x:c r="BN29"/>
      <x:c r="BO29"/>
      <x:c r="BP29"/>
      <x:c r="BQ29"/>
      <x:c r="BR29"/>
      <x:c r="BS29"/>
      <x:c r="BT29"/>
      <x:c r="BU29"/>
      <x:c r="BV29"/>
      <x:c r="BW29"/>
      <x:c r="BX29"/>
      <x:c r="BY29"/>
      <x:c r="BZ29"/>
      <x:c r="CA29"/>
      <x:c r="CB29"/>
      <x:c r="CC29"/>
      <x:c r="CD29"/>
      <x:c r="CE29"/>
      <x:c r="CF29"/>
      <x:c r="CG29"/>
      <x:c r="CH29"/>
      <x:c r="CI29"/>
      <x:c r="CJ29"/>
      <x:c r="CK29"/>
      <x:c r="CL29"/>
    </x:row>
    <x:row r="30" s="786" customFormat="1" ht="108.75" customHeight="1">
      <x:c r="A30" s="860"/>
      <x:c r="B30" s="860"/>
      <x:c r="C30" s="860"/>
      <x:c r="D30" s="861"/>
      <x:c r="E30" s="862"/>
      <x:c r="F30" s="863"/>
      <x:c r="G30" s="863"/>
      <x:c r="H30" s="861"/>
      <x:c r="I30" s="861"/>
      <x:c r="J30" s="861"/>
      <x:c r="K30" s="864"/>
      <x:c r="L30" s="888"/>
      <x:c r="M30" s="860"/>
      <x:c r="N30" s="865">
        <x:f t="shared" si="6"/>
      </x:c>
      <x:c r="O30" s="865">
        <x:f t="shared" si="7"/>
      </x:c>
      <x:c r="P30" s="884"/>
      <x:c r="Q30" s="893"/>
      <x:c r="R30" s="900"/>
      <x:c r="S30" s="901"/>
      <x:c r="T30" s="896"/>
      <x:c r="U30" s="860"/>
      <x:c r="V30" s="870"/>
      <x:c r="W30" s="871"/>
      <x:c r="X30" s="870"/>
      <x:c r="Y30" s="871"/>
      <x:c r="Z30" s="872">
        <x:f t="shared" si="9"/>
      </x:c>
      <x:c r="AA30" s="873">
        <x:f t="shared" si="10"/>
      </x:c>
      <x:c r="AB30" s="890"/>
      <x:c r="AC30" s="863"/>
      <x:c r="AD30" s="875"/>
      <x:c r="AE30" s="863"/>
      <x:c r="AF30" s="875"/>
      <x:c r="AG30" s="876"/>
      <x:c r="AH30" s="863"/>
      <x:c r="AI30" s="877"/>
      <x:c r="AJ30" s="876"/>
      <x:c r="AK30" s="877"/>
      <x:c r="AL30" s="863"/>
      <x:c r="AM30" s="878"/>
      <x:c r="AN30" s="863"/>
      <x:c r="AO30" s="873"/>
      <x:c r="AP30" s="873">
        <x:f t="shared" si="8"/>
      </x:c>
      <x:c r="AQ30" s="890"/>
      <x:c r="AR30" s="879"/>
      <x:c r="AS30" s="902"/>
      <x:c r="AT30" s="903"/>
      <x:c r="AU30" s="903"/>
      <x:c r="AV30" s="904"/>
      <x:c r="AW30" s="905"/>
      <x:c r="AX30" s="905"/>
      <x:c r="AY30" s="882"/>
      <x:c r="AZ30" s="883"/>
      <x:c r="BA30" s="884"/>
      <x:c r="BB30" s="885"/>
      <x:c r="BC30" s="886"/>
      <x:c r="BD30" s="856"/>
      <x:c r="BE30" s="887"/>
      <x:c r="BF30" s="887"/>
      <x:c r="BG30" s="887"/>
      <x:c r="BH30"/>
      <x:c r="BI30"/>
      <x:c r="BJ30"/>
      <x:c r="BK30"/>
      <x:c r="BL30"/>
      <x:c r="BM30"/>
      <x:c r="BN30"/>
      <x:c r="BO30"/>
      <x:c r="BP30"/>
      <x:c r="BQ30"/>
      <x:c r="BR30"/>
      <x:c r="BS30"/>
      <x:c r="BT30"/>
      <x:c r="BU30"/>
      <x:c r="BV30"/>
      <x:c r="BW30"/>
      <x:c r="BX30"/>
      <x:c r="BY30"/>
      <x:c r="BZ30"/>
      <x:c r="CA30"/>
      <x:c r="CB30"/>
      <x:c r="CC30"/>
      <x:c r="CD30"/>
      <x:c r="CE30"/>
      <x:c r="CF30"/>
      <x:c r="CG30"/>
      <x:c r="CH30"/>
      <x:c r="CI30"/>
      <x:c r="CJ30"/>
      <x:c r="CK30"/>
      <x:c r="CL30"/>
    </x:row>
    <x:row r="31" s="786" customFormat="1" ht="108.75" customHeight="1">
      <x:c r="A31" s="860"/>
      <x:c r="B31" s="860"/>
      <x:c r="C31" s="860"/>
      <x:c r="D31" s="861"/>
      <x:c r="E31" s="862"/>
      <x:c r="F31" s="863"/>
      <x:c r="G31" s="863"/>
      <x:c r="H31" s="861"/>
      <x:c r="I31" s="861"/>
      <x:c r="J31" s="861"/>
      <x:c r="K31" s="864"/>
      <x:c r="L31" s="888"/>
      <x:c r="M31" s="860"/>
      <x:c r="N31" s="865">
        <x:f t="shared" si="6"/>
      </x:c>
      <x:c r="O31" s="865">
        <x:f t="shared" si="7"/>
      </x:c>
      <x:c r="P31" s="884"/>
      <x:c r="Q31" s="893"/>
      <x:c r="R31" s="900"/>
      <x:c r="S31" s="901"/>
      <x:c r="T31" s="896"/>
      <x:c r="U31" s="860"/>
      <x:c r="V31" s="870"/>
      <x:c r="W31" s="871"/>
      <x:c r="X31" s="870"/>
      <x:c r="Y31" s="871"/>
      <x:c r="Z31" s="872">
        <x:f t="shared" si="9"/>
      </x:c>
      <x:c r="AA31" s="873">
        <x:f t="shared" si="10"/>
      </x:c>
      <x:c r="AB31" s="890"/>
      <x:c r="AC31" s="863"/>
      <x:c r="AD31" s="875"/>
      <x:c r="AE31" s="863"/>
      <x:c r="AF31" s="875"/>
      <x:c r="AG31" s="876"/>
      <x:c r="AH31" s="863"/>
      <x:c r="AI31" s="877"/>
      <x:c r="AJ31" s="876"/>
      <x:c r="AK31" s="877"/>
      <x:c r="AL31" s="863"/>
      <x:c r="AM31" s="878"/>
      <x:c r="AN31" s="863"/>
      <x:c r="AO31" s="873"/>
      <x:c r="AP31" s="873">
        <x:f t="shared" si="8"/>
      </x:c>
      <x:c r="AQ31" s="890"/>
      <x:c r="AR31" s="879"/>
      <x:c r="AS31" s="902"/>
      <x:c r="AT31" s="903"/>
      <x:c r="AU31" s="903"/>
      <x:c r="AV31" s="904"/>
      <x:c r="AW31" s="905"/>
      <x:c r="AX31" s="905"/>
      <x:c r="AY31" s="882"/>
      <x:c r="AZ31" s="883"/>
      <x:c r="BA31" s="884"/>
      <x:c r="BB31" s="885"/>
      <x:c r="BC31" s="886"/>
      <x:c r="BD31" s="856"/>
      <x:c r="BE31" s="887"/>
      <x:c r="BF31" s="887"/>
      <x:c r="BG31" s="887"/>
      <x:c r="BH31"/>
      <x:c r="BI31"/>
      <x:c r="BJ31"/>
      <x:c r="BK31"/>
      <x:c r="BL31"/>
      <x:c r="BM31"/>
      <x:c r="BN31"/>
      <x:c r="BO31"/>
      <x:c r="BP31"/>
      <x:c r="BQ31"/>
      <x:c r="BR31"/>
      <x:c r="BS31"/>
      <x:c r="BT31"/>
      <x:c r="BU31"/>
      <x:c r="BV31"/>
      <x:c r="BW31"/>
      <x:c r="BX31"/>
      <x:c r="BY31"/>
      <x:c r="BZ31"/>
      <x:c r="CA31"/>
      <x:c r="CB31"/>
      <x:c r="CC31"/>
      <x:c r="CD31"/>
      <x:c r="CE31"/>
      <x:c r="CF31"/>
      <x:c r="CG31"/>
      <x:c r="CH31"/>
      <x:c r="CI31"/>
      <x:c r="CJ31"/>
      <x:c r="CK31"/>
      <x:c r="CL31"/>
    </x:row>
    <x:row r="32" s="786" customFormat="1" ht="108.75" customHeight="1">
      <x:c r="A32" s="860"/>
      <x:c r="B32" s="860"/>
      <x:c r="C32" s="860"/>
      <x:c r="D32" s="861"/>
      <x:c r="E32" s="862"/>
      <x:c r="F32" s="863"/>
      <x:c r="G32" s="863"/>
      <x:c r="H32" s="861"/>
      <x:c r="I32" s="861"/>
      <x:c r="J32" s="861"/>
      <x:c r="K32" s="864"/>
      <x:c r="L32" s="888"/>
      <x:c r="M32" s="860"/>
      <x:c r="N32" s="865">
        <x:f t="shared" si="6"/>
      </x:c>
      <x:c r="O32" s="865">
        <x:f t="shared" si="7"/>
      </x:c>
      <x:c r="P32" s="884"/>
      <x:c r="Q32" s="893"/>
      <x:c r="R32" s="900"/>
      <x:c r="S32" s="901"/>
      <x:c r="T32" s="896"/>
      <x:c r="U32" s="860"/>
      <x:c r="V32" s="870"/>
      <x:c r="W32" s="871"/>
      <x:c r="X32" s="870"/>
      <x:c r="Y32" s="871"/>
      <x:c r="Z32" s="872">
        <x:f t="shared" si="9"/>
      </x:c>
      <x:c r="AA32" s="873">
        <x:f t="shared" si="10"/>
      </x:c>
      <x:c r="AB32" s="890"/>
      <x:c r="AC32" s="863"/>
      <x:c r="AD32" s="875"/>
      <x:c r="AE32" s="863"/>
      <x:c r="AF32" s="875"/>
      <x:c r="AG32" s="876"/>
      <x:c r="AH32" s="863"/>
      <x:c r="AI32" s="877"/>
      <x:c r="AJ32" s="876"/>
      <x:c r="AK32" s="877"/>
      <x:c r="AL32" s="863"/>
      <x:c r="AM32" s="878"/>
      <x:c r="AN32" s="863"/>
      <x:c r="AO32" s="873"/>
      <x:c r="AP32" s="873">
        <x:f t="shared" si="8"/>
      </x:c>
      <x:c r="AQ32" s="890"/>
      <x:c r="AR32" s="879"/>
      <x:c r="AS32" s="902"/>
      <x:c r="AT32" s="903"/>
      <x:c r="AU32" s="903"/>
      <x:c r="AV32" s="904"/>
      <x:c r="AW32" s="905"/>
      <x:c r="AX32" s="905"/>
      <x:c r="AY32" s="882"/>
      <x:c r="AZ32" s="883"/>
      <x:c r="BA32" s="884"/>
      <x:c r="BB32" s="885"/>
      <x:c r="BC32" s="886"/>
      <x:c r="BD32" s="856"/>
      <x:c r="BE32" s="887"/>
      <x:c r="BF32" s="887"/>
      <x:c r="BG32" s="887"/>
      <x:c r="BH32"/>
      <x:c r="BI32"/>
      <x:c r="BJ32"/>
      <x:c r="BK32"/>
      <x:c r="BL32"/>
      <x:c r="BM32"/>
      <x:c r="BN32"/>
      <x:c r="BO32"/>
      <x:c r="BP32"/>
      <x:c r="BQ32"/>
      <x:c r="BR32"/>
      <x:c r="BS32"/>
      <x:c r="BT32"/>
      <x:c r="BU32"/>
      <x:c r="BV32"/>
      <x:c r="BW32"/>
      <x:c r="BX32"/>
      <x:c r="BY32"/>
      <x:c r="BZ32"/>
      <x:c r="CA32"/>
      <x:c r="CB32"/>
      <x:c r="CC32"/>
      <x:c r="CD32"/>
      <x:c r="CE32"/>
      <x:c r="CF32"/>
      <x:c r="CG32"/>
      <x:c r="CH32"/>
      <x:c r="CI32"/>
      <x:c r="CJ32"/>
      <x:c r="CK32"/>
      <x:c r="CL32"/>
    </x:row>
    <x:row r="33" s="786" customFormat="1" ht="108.75" customHeight="1">
      <x:c r="A33" s="860"/>
      <x:c r="B33" s="860"/>
      <x:c r="C33" s="860"/>
      <x:c r="D33" s="861"/>
      <x:c r="E33" s="862"/>
      <x:c r="F33" s="863"/>
      <x:c r="G33" s="863"/>
      <x:c r="H33" s="861"/>
      <x:c r="I33" s="861"/>
      <x:c r="J33" s="861"/>
      <x:c r="K33" s="864"/>
      <x:c r="L33" s="888"/>
      <x:c r="M33" s="860"/>
      <x:c r="N33" s="865">
        <x:f t="shared" si="6"/>
      </x:c>
      <x:c r="O33" s="865">
        <x:f t="shared" si="7"/>
      </x:c>
      <x:c r="P33" s="884"/>
      <x:c r="Q33" s="893"/>
      <x:c r="R33" s="900"/>
      <x:c r="S33" s="901"/>
      <x:c r="T33" s="896"/>
      <x:c r="U33" s="860"/>
      <x:c r="V33" s="870"/>
      <x:c r="W33" s="871"/>
      <x:c r="X33" s="870"/>
      <x:c r="Y33" s="871"/>
      <x:c r="Z33" s="872">
        <x:f t="shared" si="9"/>
      </x:c>
      <x:c r="AA33" s="873">
        <x:f t="shared" si="10"/>
      </x:c>
      <x:c r="AB33" s="890"/>
      <x:c r="AC33" s="863"/>
      <x:c r="AD33" s="875"/>
      <x:c r="AE33" s="863"/>
      <x:c r="AF33" s="875"/>
      <x:c r="AG33" s="876"/>
      <x:c r="AH33" s="863"/>
      <x:c r="AI33" s="877"/>
      <x:c r="AJ33" s="876"/>
      <x:c r="AK33" s="877"/>
      <x:c r="AL33" s="863"/>
      <x:c r="AM33" s="878"/>
      <x:c r="AN33" s="863"/>
      <x:c r="AO33" s="873"/>
      <x:c r="AP33" s="873">
        <x:f t="shared" si="8"/>
      </x:c>
      <x:c r="AQ33" s="890"/>
      <x:c r="AR33" s="879"/>
      <x:c r="AS33" s="902"/>
      <x:c r="AT33" s="903"/>
      <x:c r="AU33" s="903"/>
      <x:c r="AV33" s="904"/>
      <x:c r="AW33" s="905"/>
      <x:c r="AX33" s="905"/>
      <x:c r="AY33" s="882"/>
      <x:c r="AZ33" s="883"/>
      <x:c r="BA33" s="884"/>
      <x:c r="BB33" s="885"/>
      <x:c r="BC33" s="886"/>
      <x:c r="BD33" s="856"/>
      <x:c r="BE33" s="887"/>
      <x:c r="BF33" s="887"/>
      <x:c r="BG33" s="887"/>
      <x:c r="BH33"/>
      <x:c r="BI33"/>
      <x:c r="BJ33"/>
      <x:c r="BK33"/>
      <x:c r="BL33"/>
      <x:c r="BM33"/>
      <x:c r="BN33"/>
      <x:c r="BO33"/>
      <x:c r="BP33"/>
      <x:c r="BQ33"/>
      <x:c r="BR33"/>
      <x:c r="BS33"/>
      <x:c r="BT33"/>
      <x:c r="BU33"/>
      <x:c r="BV33"/>
      <x:c r="BW33"/>
      <x:c r="BX33"/>
      <x:c r="BY33"/>
      <x:c r="BZ33"/>
      <x:c r="CA33"/>
      <x:c r="CB33"/>
      <x:c r="CC33"/>
      <x:c r="CD33"/>
      <x:c r="CE33"/>
      <x:c r="CF33"/>
      <x:c r="CG33"/>
      <x:c r="CH33"/>
      <x:c r="CI33"/>
      <x:c r="CJ33"/>
      <x:c r="CK33"/>
      <x:c r="CL33"/>
    </x:row>
    <x:row r="34" s="786" customFormat="1" ht="108.75" customHeight="1">
      <x:c r="A34" s="860"/>
      <x:c r="B34" s="860"/>
      <x:c r="C34" s="860"/>
      <x:c r="D34" s="861"/>
      <x:c r="E34" s="862"/>
      <x:c r="F34" s="863"/>
      <x:c r="G34" s="863"/>
      <x:c r="H34" s="861"/>
      <x:c r="I34" s="861"/>
      <x:c r="J34" s="861"/>
      <x:c r="K34" s="864"/>
      <x:c r="L34" s="888"/>
      <x:c r="M34" s="860"/>
      <x:c r="N34" s="865">
        <x:f t="shared" si="6"/>
      </x:c>
      <x:c r="O34" s="865">
        <x:f t="shared" si="7"/>
      </x:c>
      <x:c r="P34" s="884"/>
      <x:c r="Q34" s="893"/>
      <x:c r="R34" s="900"/>
      <x:c r="S34" s="901"/>
      <x:c r="T34" s="896"/>
      <x:c r="U34" s="860"/>
      <x:c r="V34" s="870"/>
      <x:c r="W34" s="871"/>
      <x:c r="X34" s="870"/>
      <x:c r="Y34" s="871"/>
      <x:c r="Z34" s="872">
        <x:f t="shared" si="9"/>
      </x:c>
      <x:c r="AA34" s="873">
        <x:f t="shared" si="10"/>
      </x:c>
      <x:c r="AB34" s="890"/>
      <x:c r="AC34" s="863"/>
      <x:c r="AD34" s="875"/>
      <x:c r="AE34" s="863"/>
      <x:c r="AF34" s="875"/>
      <x:c r="AG34" s="876"/>
      <x:c r="AH34" s="863"/>
      <x:c r="AI34" s="877"/>
      <x:c r="AJ34" s="876"/>
      <x:c r="AK34" s="877"/>
      <x:c r="AL34" s="863"/>
      <x:c r="AM34" s="878"/>
      <x:c r="AN34" s="863"/>
      <x:c r="AO34" s="873"/>
      <x:c r="AP34" s="873">
        <x:f t="shared" si="8"/>
      </x:c>
      <x:c r="AQ34" s="890"/>
      <x:c r="AR34" s="879"/>
      <x:c r="AS34" s="902"/>
      <x:c r="AT34" s="903"/>
      <x:c r="AU34" s="903"/>
      <x:c r="AV34" s="904"/>
      <x:c r="AW34" s="905"/>
      <x:c r="AX34" s="905"/>
      <x:c r="AY34" s="882"/>
      <x:c r="AZ34" s="883"/>
      <x:c r="BA34" s="884"/>
      <x:c r="BB34" s="885"/>
      <x:c r="BC34" s="886"/>
      <x:c r="BD34" s="856"/>
      <x:c r="BE34" s="887"/>
      <x:c r="BF34" s="887"/>
      <x:c r="BG34" s="887"/>
      <x:c r="BH34"/>
      <x:c r="BI34"/>
      <x:c r="BJ34"/>
      <x:c r="BK34"/>
      <x:c r="BL34"/>
      <x:c r="BM34"/>
      <x:c r="BN34"/>
      <x:c r="BO34"/>
      <x:c r="BP34"/>
      <x:c r="BQ34"/>
      <x:c r="BR34"/>
      <x:c r="BS34"/>
      <x:c r="BT34"/>
      <x:c r="BU34"/>
      <x:c r="BV34"/>
      <x:c r="BW34"/>
      <x:c r="BX34"/>
      <x:c r="BY34"/>
      <x:c r="BZ34"/>
      <x:c r="CA34"/>
      <x:c r="CB34"/>
      <x:c r="CC34"/>
      <x:c r="CD34"/>
      <x:c r="CE34"/>
      <x:c r="CF34"/>
      <x:c r="CG34"/>
      <x:c r="CH34"/>
      <x:c r="CI34"/>
      <x:c r="CJ34"/>
      <x:c r="CK34"/>
      <x:c r="CL34"/>
    </x:row>
    <x:row r="35" s="786" customFormat="1" ht="108.75" customHeight="1">
      <x:c r="A35" s="860"/>
      <x:c r="B35" s="860"/>
      <x:c r="C35" s="860"/>
      <x:c r="D35" s="861"/>
      <x:c r="E35" s="862"/>
      <x:c r="F35" s="863"/>
      <x:c r="G35" s="863"/>
      <x:c r="H35" s="861"/>
      <x:c r="I35" s="861"/>
      <x:c r="J35" s="861"/>
      <x:c r="K35" s="864"/>
      <x:c r="L35" s="888"/>
      <x:c r="M35" s="860"/>
      <x:c r="N35" s="865">
        <x:f t="shared" si="6"/>
      </x:c>
      <x:c r="O35" s="865">
        <x:f t="shared" si="7"/>
      </x:c>
      <x:c r="P35" s="884"/>
      <x:c r="Q35" s="893"/>
      <x:c r="R35" s="900"/>
      <x:c r="S35" s="901"/>
      <x:c r="T35" s="896"/>
      <x:c r="U35" s="860"/>
      <x:c r="V35" s="870"/>
      <x:c r="W35" s="871"/>
      <x:c r="X35" s="870"/>
      <x:c r="Y35" s="871"/>
      <x:c r="Z35" s="872">
        <x:f t="shared" si="9"/>
      </x:c>
      <x:c r="AA35" s="873">
        <x:f t="shared" si="10"/>
      </x:c>
      <x:c r="AB35" s="890"/>
      <x:c r="AC35" s="863"/>
      <x:c r="AD35" s="875"/>
      <x:c r="AE35" s="863"/>
      <x:c r="AF35" s="875"/>
      <x:c r="AG35" s="876"/>
      <x:c r="AH35" s="863"/>
      <x:c r="AI35" s="877"/>
      <x:c r="AJ35" s="876"/>
      <x:c r="AK35" s="877"/>
      <x:c r="AL35" s="863"/>
      <x:c r="AM35" s="878"/>
      <x:c r="AN35" s="863"/>
      <x:c r="AO35" s="873"/>
      <x:c r="AP35" s="873">
        <x:f t="shared" si="8"/>
      </x:c>
      <x:c r="AQ35" s="890"/>
      <x:c r="AR35" s="879"/>
      <x:c r="AS35" s="902"/>
      <x:c r="AT35" s="903"/>
      <x:c r="AU35" s="903"/>
      <x:c r="AV35" s="904"/>
      <x:c r="AW35" s="905"/>
      <x:c r="AX35" s="905"/>
      <x:c r="AY35" s="882"/>
      <x:c r="AZ35" s="883"/>
      <x:c r="BA35" s="884"/>
      <x:c r="BB35" s="885"/>
      <x:c r="BC35" s="886"/>
      <x:c r="BD35" s="856"/>
      <x:c r="BE35" s="887"/>
      <x:c r="BF35" s="887"/>
      <x:c r="BG35" s="887"/>
      <x:c r="BH35"/>
      <x:c r="BI35"/>
      <x:c r="BJ35"/>
      <x:c r="BK35"/>
      <x:c r="BL35"/>
      <x:c r="BM35"/>
      <x:c r="BN35"/>
      <x:c r="BO35"/>
      <x:c r="BP35"/>
      <x:c r="BQ35"/>
      <x:c r="BR35"/>
      <x:c r="BS35"/>
      <x:c r="BT35"/>
      <x:c r="BU35"/>
      <x:c r="BV35"/>
      <x:c r="BW35"/>
      <x:c r="BX35"/>
      <x:c r="BY35"/>
      <x:c r="BZ35"/>
      <x:c r="CA35"/>
      <x:c r="CB35"/>
      <x:c r="CC35"/>
      <x:c r="CD35"/>
      <x:c r="CE35"/>
      <x:c r="CF35"/>
      <x:c r="CG35"/>
      <x:c r="CH35"/>
      <x:c r="CI35"/>
      <x:c r="CJ35"/>
      <x:c r="CK35"/>
      <x:c r="CL35"/>
    </x:row>
    <x:row r="36" s="786" customFormat="1" ht="108.75" customHeight="1">
      <x:c r="A36" s="860"/>
      <x:c r="B36" s="860"/>
      <x:c r="C36" s="860"/>
      <x:c r="D36" s="861"/>
      <x:c r="E36" s="862"/>
      <x:c r="F36" s="863"/>
      <x:c r="G36" s="863"/>
      <x:c r="H36" s="861"/>
      <x:c r="I36" s="861"/>
      <x:c r="J36" s="861"/>
      <x:c r="K36" s="864"/>
      <x:c r="L36" s="888"/>
      <x:c r="M36" s="860"/>
      <x:c r="N36" s="865">
        <x:f t="shared" si="6"/>
      </x:c>
      <x:c r="O36" s="865">
        <x:f t="shared" si="7"/>
      </x:c>
      <x:c r="P36" s="884"/>
      <x:c r="Q36" s="893"/>
      <x:c r="R36" s="906"/>
      <x:c r="S36" s="907"/>
      <x:c r="T36" s="896"/>
      <x:c r="U36" s="860"/>
      <x:c r="V36" s="870"/>
      <x:c r="W36" s="871"/>
      <x:c r="X36" s="870"/>
      <x:c r="Y36" s="871"/>
      <x:c r="Z36" s="872">
        <x:f t="shared" si="9"/>
      </x:c>
      <x:c r="AA36" s="873">
        <x:f t="shared" si="10"/>
      </x:c>
      <x:c r="AB36" s="908"/>
      <x:c r="AC36" s="863"/>
      <x:c r="AD36" s="875"/>
      <x:c r="AE36" s="863"/>
      <x:c r="AF36" s="875"/>
      <x:c r="AG36" s="876"/>
      <x:c r="AH36" s="863"/>
      <x:c r="AI36" s="877"/>
      <x:c r="AJ36" s="876"/>
      <x:c r="AK36" s="877"/>
      <x:c r="AL36" s="863"/>
      <x:c r="AM36" s="878"/>
      <x:c r="AN36" s="863"/>
      <x:c r="AO36" s="873"/>
      <x:c r="AP36" s="873">
        <x:f t="shared" si="8"/>
      </x:c>
      <x:c r="AQ36" s="908"/>
      <x:c r="AR36" s="879"/>
      <x:c r="AS36" s="891"/>
      <x:c r="AT36" s="909"/>
      <x:c r="AU36" s="909"/>
      <x:c r="AV36" s="910"/>
      <x:c r="AW36" s="911"/>
      <x:c r="AX36" s="911"/>
      <x:c r="AY36" s="882"/>
      <x:c r="AZ36" s="883"/>
      <x:c r="BA36" s="884"/>
      <x:c r="BB36" s="885"/>
      <x:c r="BC36" s="886"/>
      <x:c r="BD36" s="912"/>
      <x:c r="BE36" s="887"/>
      <x:c r="BF36" s="887"/>
      <x:c r="BG36" s="887"/>
      <x:c r="BH36"/>
      <x:c r="BI36"/>
      <x:c r="BJ36"/>
      <x:c r="BK36"/>
      <x:c r="BL36"/>
      <x:c r="BM36"/>
      <x:c r="BN36"/>
      <x:c r="BO36"/>
      <x:c r="BP36"/>
      <x:c r="BQ36"/>
      <x:c r="BR36"/>
      <x:c r="BS36"/>
      <x:c r="BT36"/>
      <x:c r="BU36"/>
      <x:c r="BV36"/>
      <x:c r="BW36"/>
      <x:c r="BX36"/>
      <x:c r="BY36"/>
      <x:c r="BZ36"/>
      <x:c r="CA36"/>
      <x:c r="CB36"/>
      <x:c r="CC36"/>
      <x:c r="CD36"/>
      <x:c r="CE36"/>
      <x:c r="CF36"/>
      <x:c r="CG36"/>
      <x:c r="CH36"/>
      <x:c r="CI36"/>
      <x:c r="CJ36"/>
      <x:c r="CK36"/>
      <x:c r="CL36"/>
    </x:row>
    <x:row r="37" s="787" customFormat="1" ht="103.75" customHeight="1">
      <x:c r="A37" s="820"/>
      <x:c r="B37" s="913"/>
      <x:c r="C37" s="848"/>
      <x:c r="D37" s="820"/>
      <x:c r="E37" s="914"/>
      <x:c r="F37" s="915"/>
      <x:c r="G37" s="823"/>
      <x:c r="H37" s="820"/>
      <x:c r="I37" s="828"/>
      <x:c r="J37" s="821"/>
      <x:c r="K37" s="824"/>
      <x:c r="L37" s="916"/>
      <x:c r="M37" s="821"/>
      <x:c r="N37" s="826">
        <x:f t="shared" si="6"/>
      </x:c>
      <x:c r="O37" s="826">
        <x:f t="shared" si="7"/>
      </x:c>
      <x:c r="P37" s="917"/>
      <x:c r="Q37" s="830"/>
      <x:c r="R37" s="829"/>
      <x:c r="S37" s="830"/>
      <x:c r="T37" s="832"/>
      <x:c r="U37" s="820"/>
      <x:c r="V37" s="832"/>
      <x:c r="W37" s="833"/>
      <x:c r="X37" s="832"/>
      <x:c r="Y37" s="833"/>
      <x:c r="Z37" s="834">
        <x:f t="shared" si="9"/>
      </x:c>
      <x:c r="AA37" s="835">
        <x:f t="shared" si="10"/>
      </x:c>
      <x:c r="AB37" s="918"/>
      <x:c r="AC37" s="821"/>
      <x:c r="AD37" s="919"/>
      <x:c r="AE37" s="821"/>
      <x:c r="AF37" s="919"/>
      <x:c r="AG37" s="821"/>
      <x:c r="AH37" s="821"/>
      <x:c r="AI37" s="920"/>
      <x:c r="AJ37" s="823"/>
      <x:c r="AK37" s="920"/>
      <x:c r="AL37" s="921"/>
      <x:c r="AM37" s="922"/>
      <x:c r="AN37" s="821"/>
      <x:c r="AO37" s="923"/>
      <x:c r="AP37" s="923">
        <x:f t="shared" si="8"/>
      </x:c>
      <x:c r="AQ37" s="923"/>
      <x:c r="AR37" s="843"/>
      <x:c r="AS37" s="844"/>
      <x:c r="AT37" s="924"/>
      <x:c r="AU37" s="924"/>
      <x:c r="AV37" s="848"/>
      <x:c r="AW37" s="848"/>
      <x:c r="AX37" s="848"/>
      <x:c r="AY37" s="832"/>
      <x:c r="AZ37" s="832"/>
      <x:c r="BA37" s="851"/>
      <x:c r="BB37" s="851"/>
      <x:c r="BC37" s="827"/>
      <x:c r="BD37" s="925"/>
      <x:c r="BE37"/>
      <x:c r="BF37"/>
      <x:c r="BG37"/>
      <x:c r="BH37"/>
      <x:c r="BI37"/>
      <x:c r="BJ37"/>
      <x:c r="BK37"/>
      <x:c r="BL37"/>
      <x:c r="BM37"/>
      <x:c r="BN37"/>
      <x:c r="BO37"/>
      <x:c r="BP37"/>
      <x:c r="BQ37"/>
      <x:c r="BR37"/>
      <x:c r="BS37"/>
      <x:c r="BT37"/>
      <x:c r="BU37"/>
      <x:c r="BV37"/>
      <x:c r="BW37"/>
      <x:c r="BX37"/>
      <x:c r="BY37"/>
      <x:c r="BZ37"/>
      <x:c r="CA37"/>
      <x:c r="CB37"/>
      <x:c r="CC37"/>
      <x:c r="CD37"/>
      <x:c r="CE37"/>
      <x:c r="CF37"/>
      <x:c r="CG37"/>
      <x:c r="CH37"/>
      <x:c r="CI37"/>
      <x:c r="CJ37"/>
      <x:c r="CK37"/>
      <x:c r="CL37"/>
    </x:row>
    <x:row r="38" s="788" customFormat="1" ht="104" customHeight="1">
      <x:c r="A38" s="926"/>
      <x:c r="B38" s="926"/>
      <x:c r="C38" s="926"/>
      <x:c r="D38" s="927"/>
      <x:c r="E38" s="801"/>
      <x:c r="F38" s="928"/>
      <x:c r="G38" s="927"/>
      <x:c r="H38" s="928"/>
      <x:c r="I38" s="927"/>
      <x:c r="J38" s="927"/>
      <x:c r="K38" s="929"/>
      <x:c r="L38" s="927"/>
      <x:c r="M38" s="927"/>
      <x:c r="N38" s="930">
        <x:f t="shared" si="6"/>
      </x:c>
      <x:c r="O38" s="930">
        <x:f t="shared" si="7"/>
      </x:c>
      <x:c r="P38" s="931"/>
      <x:c r="Q38" s="932"/>
      <x:c r="R38" s="933"/>
      <x:c r="S38" s="932"/>
      <x:c r="T38" s="934"/>
      <x:c r="U38" s="934"/>
      <x:c r="V38" s="935"/>
      <x:c r="W38" s="934"/>
      <x:c r="X38" s="935"/>
      <x:c r="Y38" s="934"/>
      <x:c r="Z38" s="936">
        <x:f t="shared" si="9"/>
      </x:c>
      <x:c r="AA38" s="937">
        <x:f t="shared" si="10"/>
      </x:c>
      <x:c r="AB38" s="937"/>
      <x:c r="AC38" s="927"/>
      <x:c r="AD38" s="938"/>
      <x:c r="AE38" s="927"/>
      <x:c r="AF38" s="938"/>
      <x:c r="AG38" s="939"/>
      <x:c r="AH38" s="927"/>
      <x:c r="AI38" s="940"/>
      <x:c r="AJ38" s="941"/>
      <x:c r="AK38" s="940"/>
      <x:c r="AL38" s="927"/>
      <x:c r="AM38" s="942"/>
      <x:c r="AN38" s="927"/>
      <x:c r="AO38" s="943"/>
      <x:c r="AP38" s="944">
        <x:f t="shared" si="8"/>
      </x:c>
      <x:c r="AQ38" s="944"/>
      <x:c r="AR38" s="945"/>
      <x:c r="AS38" s="946"/>
      <x:c r="AT38" s="928"/>
      <x:c r="AU38" s="926"/>
      <x:c r="AV38" s="926"/>
      <x:c r="AW38" s="926"/>
      <x:c r="AX38" s="947"/>
      <x:c r="AY38" s="947"/>
      <x:c r="AZ38" s="928"/>
      <x:c r="BA38" s="948"/>
      <x:c r="BB38" s="949"/>
      <x:c r="BC38" s="950"/>
      <x:c r="BD38" s="928"/>
      <x:c r="BE38"/>
      <x:c r="BF38"/>
      <x:c r="BG38"/>
      <x:c r="BH38"/>
      <x:c r="BI38"/>
      <x:c r="BJ38"/>
      <x:c r="BK38"/>
      <x:c r="BL38"/>
      <x:c r="BM38"/>
      <x:c r="BN38"/>
      <x:c r="BO38"/>
      <x:c r="BP38"/>
      <x:c r="BQ38"/>
      <x:c r="BR38"/>
      <x:c r="BS38"/>
      <x:c r="BT38"/>
      <x:c r="BU38"/>
      <x:c r="BV38"/>
      <x:c r="BW38"/>
      <x:c r="BX38"/>
      <x:c r="BY38"/>
      <x:c r="BZ38"/>
      <x:c r="CA38"/>
      <x:c r="CB38"/>
      <x:c r="CC38"/>
      <x:c r="CD38"/>
      <x:c r="CE38"/>
      <x:c r="CF38"/>
      <x:c r="CG38"/>
      <x:c r="CH38"/>
      <x:c r="CI38"/>
      <x:c r="CJ38"/>
      <x:c r="CK38"/>
      <x:c r="CL38"/>
    </x:row>
    <x:row r="39" s="789" customFormat="1" ht="87" customHeight="1">
      <x:c r="A39"/>
      <x:c r="B39" s="783"/>
      <x:c r="C39" s="783"/>
      <x:c r="D39" s="951"/>
      <x:c r="E39" s="952"/>
      <x:c r="F39" s="953"/>
      <x:c r="G39" s="951"/>
      <x:c r="H39" s="953"/>
      <x:c r="I39" s="951"/>
      <x:c r="J39" s="951"/>
      <x:c r="K39" s="954"/>
      <x:c r="L39" s="954"/>
      <x:c r="M39" s="951"/>
      <x:c r="N39" s="955"/>
      <x:c r="O39" s="955"/>
      <x:c r="P39" s="956"/>
      <x:c r="Q39" s="957"/>
      <x:c r="R39" s="958"/>
      <x:c r="S39" s="957"/>
      <x:c r="T39" s="959"/>
      <x:c r="U39" s="960"/>
      <x:c r="V39" s="960"/>
      <x:c r="W39" s="959"/>
      <x:c r="X39" s="960"/>
      <x:c r="Y39" s="959"/>
      <x:c r="Z39" s="961"/>
      <x:c r="AA39" s="962"/>
      <x:c r="AB39" s="962"/>
      <x:c r="AC39" s="951"/>
      <x:c r="AD39" s="963"/>
      <x:c r="AE39" s="951"/>
      <x:c r="AF39" s="963"/>
      <x:c r="AG39" s="964"/>
      <x:c r="AH39" s="951"/>
      <x:c r="AI39" s="965"/>
      <x:c r="AJ39" s="966"/>
      <x:c r="AK39" s="965"/>
      <x:c r="AL39" s="951"/>
      <x:c r="AM39" s="967"/>
      <x:c r="AN39" s="951"/>
      <x:c r="AO39" s="968"/>
      <x:c r="AP39" s="969"/>
      <x:c r="AQ39" s="970"/>
      <x:c r="AR39" s="971"/>
      <x:c r="AS39" s="972"/>
      <x:c r="AT39" s="953"/>
      <x:c r="AU39" s="953"/>
      <x:c r="AV39" s="973"/>
      <x:c r="AW39" s="973"/>
      <x:c r="AX39" s="974"/>
      <x:c r="AY39" s="974"/>
      <x:c r="AZ39" s="783"/>
      <x:c r="BA39" s="975"/>
      <x:c r="BB39" s="976"/>
      <x:c r="BC39" s="977"/>
      <x:c r="BD39" s="978"/>
      <x:c r="BE39"/>
      <x:c r="BF39"/>
      <x:c r="BG39"/>
      <x:c r="BH39"/>
      <x:c r="BI39"/>
      <x:c r="BJ39"/>
      <x:c r="BK39"/>
      <x:c r="BL39"/>
      <x:c r="BM39"/>
      <x:c r="BN39"/>
      <x:c r="BO39"/>
      <x:c r="BP39"/>
      <x:c r="BQ39"/>
      <x:c r="BR39"/>
      <x:c r="BS39"/>
      <x:c r="BT39"/>
      <x:c r="BU39"/>
      <x:c r="BV39"/>
      <x:c r="BW39"/>
      <x:c r="BX39"/>
      <x:c r="BY39"/>
      <x:c r="BZ39"/>
      <x:c r="CA39"/>
      <x:c r="CB39"/>
      <x:c r="CC39"/>
      <x:c r="CD39"/>
      <x:c r="CE39"/>
      <x:c r="CF39"/>
      <x:c r="CG39"/>
      <x:c r="CH39"/>
      <x:c r="CI39"/>
      <x:c r="CJ39"/>
      <x:c r="CK39"/>
      <x:c r="CL39"/>
    </x:row>
    <x:row r="40" s="789" customFormat="1" ht="87" customHeight="1">
      <x:c r="A40"/>
      <x:c r="B40" s="783"/>
      <x:c r="C40" s="783"/>
      <x:c r="D40" s="951"/>
      <x:c r="E40" s="952"/>
      <x:c r="F40" s="953"/>
      <x:c r="G40" s="951"/>
      <x:c r="H40" s="953"/>
      <x:c r="I40" s="951"/>
      <x:c r="J40" s="951"/>
      <x:c r="K40" s="954"/>
      <x:c r="L40" s="954"/>
      <x:c r="M40" s="951"/>
      <x:c r="N40" s="955"/>
      <x:c r="O40" s="955"/>
      <x:c r="P40" s="956"/>
      <x:c r="Q40" s="957"/>
      <x:c r="R40" s="958"/>
      <x:c r="S40" s="957"/>
      <x:c r="T40" s="959"/>
      <x:c r="U40" s="960"/>
      <x:c r="V40" s="960"/>
      <x:c r="W40" s="959"/>
      <x:c r="X40" s="960"/>
      <x:c r="Y40" s="959"/>
      <x:c r="Z40" s="961"/>
      <x:c r="AA40" s="962"/>
      <x:c r="AB40" s="962"/>
      <x:c r="AC40" s="951"/>
      <x:c r="AD40" s="963"/>
      <x:c r="AE40" s="951"/>
      <x:c r="AF40" s="963"/>
      <x:c r="AG40" s="964"/>
      <x:c r="AH40" s="951"/>
      <x:c r="AI40" s="965"/>
      <x:c r="AJ40" s="966"/>
      <x:c r="AK40" s="965"/>
      <x:c r="AL40" s="951"/>
      <x:c r="AM40" s="967"/>
      <x:c r="AN40" s="951"/>
      <x:c r="AO40" s="968"/>
      <x:c r="AP40" s="969"/>
      <x:c r="AQ40" s="970"/>
      <x:c r="AR40" s="971"/>
      <x:c r="AS40" s="972"/>
      <x:c r="AT40" s="953"/>
      <x:c r="AU40" s="953"/>
      <x:c r="AV40" s="973"/>
      <x:c r="AW40" s="973"/>
      <x:c r="AX40" s="974"/>
      <x:c r="AY40" s="974"/>
      <x:c r="AZ40" s="783"/>
      <x:c r="BA40" s="975"/>
      <x:c r="BB40" s="976"/>
      <x:c r="BC40" s="977"/>
      <x:c r="BD40" s="978"/>
      <x:c r="BE40"/>
      <x:c r="BF40"/>
      <x:c r="BG40"/>
      <x:c r="BH40"/>
      <x:c r="BI40"/>
      <x:c r="BJ40"/>
      <x:c r="BK40"/>
      <x:c r="BL40"/>
      <x:c r="BM40"/>
      <x:c r="BN40"/>
      <x:c r="BO40"/>
      <x:c r="BP40"/>
      <x:c r="BQ40"/>
      <x:c r="BR40"/>
      <x:c r="BS40"/>
      <x:c r="BT40"/>
      <x:c r="BU40"/>
      <x:c r="BV40"/>
      <x:c r="BW40"/>
      <x:c r="BX40"/>
      <x:c r="BY40"/>
      <x:c r="BZ40"/>
      <x:c r="CA40"/>
      <x:c r="CB40"/>
      <x:c r="CC40"/>
      <x:c r="CD40"/>
      <x:c r="CE40"/>
      <x:c r="CF40"/>
      <x:c r="CG40"/>
      <x:c r="CH40"/>
      <x:c r="CI40"/>
      <x:c r="CJ40"/>
      <x:c r="CK40"/>
      <x:c r="CL40"/>
    </x:row>
    <x:row r="41" s="600" customFormat="1" ht="108.75" customHeight="1">
      <x:c r="A41"/>
      <x:c r="B41"/>
      <x:c r="C41"/>
      <x:c r="D41"/>
      <x:c r="E41" s="979"/>
      <x:c r="F41"/>
      <x:c r="G41"/>
      <x:c r="H41"/>
      <x:c r="I41"/>
      <x:c r="J41"/>
      <x:c r="K41"/>
      <x:c r="L41" s="600"/>
      <x:c r="M41"/>
      <x:c r="N41" s="600"/>
      <x:c r="O41" s="600"/>
      <x:c r="P41" s="600"/>
      <x:c r="Q41" s="600"/>
      <x:c r="R41"/>
      <x:c r="S41" s="600"/>
      <x:c r="T41"/>
      <x:c r="U41"/>
      <x:c r="V41"/>
      <x:c r="W41"/>
      <x:c r="X41"/>
      <x:c r="Y41"/>
      <x:c r="Z41"/>
      <x:c r="AA41" s="600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 s="600"/>
      <x:c r="AQ41"/>
      <x:c r="AR41"/>
      <x:c r="AS41"/>
      <x:c r="AT41" s="600"/>
      <x:c r="AU41"/>
      <x:c r="AV41"/>
      <x:c r="AW41"/>
      <x:c r="AX41"/>
      <x:c r="AY41"/>
      <x:c r="AZ41"/>
      <x:c r="BA41"/>
      <x:c r="BB41"/>
      <x:c r="BC41"/>
      <x:c r="BD41" s="792"/>
      <x:c r="BE41"/>
      <x:c r="BF41"/>
      <x:c r="BG41"/>
      <x:c r="BH41"/>
      <x:c r="BI41"/>
      <x:c r="BJ41"/>
      <x:c r="BK41"/>
      <x:c r="BL41"/>
      <x:c r="BM41"/>
      <x:c r="BN41"/>
      <x:c r="BO41"/>
      <x:c r="BP41"/>
      <x:c r="BQ41"/>
      <x:c r="BR41"/>
      <x:c r="BS41"/>
      <x:c r="BT41"/>
      <x:c r="BU41"/>
      <x:c r="BV41"/>
      <x:c r="BW41"/>
      <x:c r="BX41"/>
      <x:c r="BY41"/>
      <x:c r="BZ41"/>
      <x:c r="CA41"/>
      <x:c r="CB41"/>
      <x:c r="CC41"/>
      <x:c r="CD41"/>
      <x:c r="CE41"/>
      <x:c r="CF41"/>
      <x:c r="CG41"/>
      <x:c r="CH41"/>
      <x:c r="CI41"/>
      <x:c r="CJ41"/>
      <x:c r="CK41"/>
      <x:c r="CL41"/>
    </x:row>
    <x:row r="42" s="600" customFormat="1" ht="108.75" customHeight="1">
      <x:c r="A42"/>
      <x:c r="B42"/>
      <x:c r="C42"/>
      <x:c r="D42"/>
      <x:c r="E42" s="979"/>
      <x:c r="F42"/>
      <x:c r="G42"/>
      <x:c r="H42"/>
      <x:c r="I42"/>
      <x:c r="J42"/>
      <x:c r="K42"/>
      <x:c r="L42"/>
      <x:c r="M42"/>
      <x:c r="N42"/>
      <x:c r="O42"/>
      <x:c r="P42" s="603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/>
      <x:c r="BA42"/>
      <x:c r="BB42"/>
      <x:c r="BC42"/>
      <x:c r="BD42" s="792"/>
      <x:c r="BE42"/>
      <x:c r="BF42"/>
      <x:c r="BG42"/>
      <x:c r="BH42"/>
      <x:c r="BI42"/>
      <x:c r="BJ42"/>
      <x:c r="BK42"/>
      <x:c r="BL42"/>
      <x:c r="BM42"/>
      <x:c r="BN42"/>
      <x:c r="BO42"/>
      <x:c r="BP42"/>
      <x:c r="BQ42"/>
      <x:c r="BR42"/>
      <x:c r="BS42"/>
      <x:c r="BT42"/>
      <x:c r="BU42"/>
      <x:c r="BV42"/>
      <x:c r="BW42"/>
      <x:c r="BX42"/>
      <x:c r="BY42"/>
      <x:c r="BZ42"/>
      <x:c r="CA42"/>
      <x:c r="CB42"/>
      <x:c r="CC42"/>
      <x:c r="CD42"/>
      <x:c r="CE42"/>
      <x:c r="CF42"/>
      <x:c r="CG42"/>
      <x:c r="CH42"/>
      <x:c r="CI42"/>
      <x:c r="CJ42"/>
      <x:c r="CK42"/>
      <x:c r="CL42"/>
    </x:row>
    <x:row r="43" s="790" customFormat="1" ht="108.75" customHeight="1">
      <x:c r="A43"/>
      <x:c r="B43"/>
      <x:c r="C43"/>
      <x:c r="D43"/>
      <x:c r="E43" s="980"/>
      <x:c r="F43"/>
      <x:c r="G43"/>
      <x:c r="H43"/>
      <x:c r="I43"/>
      <x:c r="J43"/>
      <x:c r="K43"/>
      <x:c r="L43"/>
      <x:c r="M43"/>
      <x:c r="N43"/>
      <x:c r="O43"/>
      <x:c r="P43" s="981"/>
      <x:c r="Q43" s="982"/>
      <x:c r="R43"/>
      <x:c r="S43" s="983"/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/>
      <x:c r="AI43"/>
      <x:c r="AJ43"/>
      <x:c r="AK43"/>
      <x:c r="AL43"/>
      <x:c r="AM43"/>
      <x:c r="AN43"/>
      <x:c r="AO43"/>
      <x:c r="AP43"/>
      <x:c r="AQ43"/>
      <x:c r="AR43"/>
      <x:c r="AS43"/>
      <x:c r="AT43"/>
      <x:c r="AU43"/>
      <x:c r="AV43"/>
      <x:c r="AW43"/>
      <x:c r="AX43"/>
      <x:c r="AY43"/>
      <x:c r="AZ43"/>
      <x:c r="BA43"/>
      <x:c r="BB43"/>
      <x:c r="BC43"/>
      <x:c r="BD43" s="792"/>
      <x:c r="BE43"/>
      <x:c r="BF43"/>
      <x:c r="BG43"/>
      <x:c r="BH43"/>
      <x:c r="BI43"/>
      <x:c r="BJ43"/>
      <x:c r="BK43"/>
      <x:c r="BL43"/>
      <x:c r="BM43"/>
      <x:c r="BN43"/>
      <x:c r="BO43"/>
      <x:c r="BP43"/>
      <x:c r="BQ43"/>
      <x:c r="BR43"/>
      <x:c r="BS43"/>
      <x:c r="BT43"/>
      <x:c r="BU43"/>
      <x:c r="BV43"/>
      <x:c r="BW43"/>
      <x:c r="BX43"/>
      <x:c r="BY43"/>
      <x:c r="BZ43"/>
      <x:c r="CA43"/>
      <x:c r="CB43"/>
      <x:c r="CC43"/>
      <x:c r="CD43"/>
      <x:c r="CE43"/>
      <x:c r="CF43"/>
      <x:c r="CG43"/>
      <x:c r="CH43"/>
      <x:c r="CI43"/>
      <x:c r="CJ43"/>
      <x:c r="CK43"/>
      <x:c r="CL43"/>
    </x:row>
    <x:row r="44" s="790" customFormat="1" ht="108.75" customHeight="1">
      <x:c r="A44"/>
      <x:c r="B44"/>
      <x:c r="C44"/>
      <x:c r="D44"/>
      <x:c r="E44" s="980"/>
      <x:c r="F44"/>
      <x:c r="G44"/>
      <x:c r="H44"/>
      <x:c r="I44"/>
      <x:c r="J44"/>
      <x:c r="K44"/>
      <x:c r="L44"/>
      <x:c r="M44"/>
      <x:c r="N44"/>
      <x:c r="O44"/>
      <x:c r="P44"/>
      <x:c r="Q44" s="982"/>
      <x:c r="R44"/>
      <x:c r="S44"/>
      <x:c r="T44" s="984"/>
      <x:c r="U44" s="984"/>
      <x:c r="V44" s="98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/>
      <x:c r="AX44"/>
      <x:c r="AY44"/>
      <x:c r="AZ44"/>
      <x:c r="BA44"/>
      <x:c r="BB44"/>
      <x:c r="BC44"/>
      <x:c r="BD44" s="792"/>
      <x:c r="BE44"/>
      <x:c r="BF44"/>
      <x:c r="BG44"/>
      <x:c r="BH44"/>
      <x:c r="BI44"/>
      <x:c r="BJ44"/>
      <x:c r="BK44"/>
      <x:c r="BL44"/>
      <x:c r="BM44"/>
      <x:c r="BN44"/>
      <x:c r="BO44"/>
      <x:c r="BP44"/>
      <x:c r="BQ44"/>
      <x:c r="BR44"/>
      <x:c r="BS44"/>
      <x:c r="BT44"/>
      <x:c r="BU44"/>
      <x:c r="BV44"/>
      <x:c r="BW44"/>
      <x:c r="BX44"/>
      <x:c r="BY44"/>
      <x:c r="BZ44"/>
      <x:c r="CA44"/>
      <x:c r="CB44"/>
      <x:c r="CC44"/>
      <x:c r="CD44"/>
      <x:c r="CE44"/>
      <x:c r="CF44"/>
      <x:c r="CG44"/>
      <x:c r="CH44"/>
      <x:c r="CI44"/>
      <x:c r="CJ44"/>
      <x:c r="CK44"/>
      <x:c r="CL44"/>
    </x:row>
    <x:row r="45" s="790" customFormat="1" ht="108.75" customHeight="1">
      <x:c r="A45"/>
      <x:c r="B45"/>
      <x:c r="C45"/>
      <x:c r="D45"/>
      <x:c r="E45" s="980"/>
      <x:c r="F45"/>
      <x:c r="G45"/>
      <x:c r="H45"/>
      <x:c r="I45"/>
      <x:c r="J45"/>
      <x:c r="K45"/>
      <x:c r="L45"/>
      <x:c r="M45"/>
      <x:c r="N45"/>
      <x:c r="O45"/>
      <x:c r="P45"/>
      <x:c r="Q45" s="982"/>
      <x:c r="R45"/>
      <x:c r="S45"/>
      <x:c r="T45" s="603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/>
      <x:c r="AY45"/>
      <x:c r="AZ45"/>
      <x:c r="BA45"/>
      <x:c r="BB45"/>
      <x:c r="BC45"/>
      <x:c r="BD45" s="792"/>
      <x:c r="BE45"/>
      <x:c r="BF45"/>
      <x:c r="BG45"/>
      <x:c r="BH45"/>
      <x:c r="BI45"/>
      <x:c r="BJ45"/>
      <x:c r="BK45"/>
      <x:c r="BL45"/>
      <x:c r="BM45"/>
      <x:c r="BN45"/>
      <x:c r="BO45"/>
      <x:c r="BP45"/>
      <x:c r="BQ45"/>
      <x:c r="BR45"/>
      <x:c r="BS45"/>
      <x:c r="BT45"/>
      <x:c r="BU45"/>
      <x:c r="BV45"/>
      <x:c r="BW45"/>
      <x:c r="BX45"/>
      <x:c r="BY45"/>
      <x:c r="BZ45"/>
      <x:c r="CA45"/>
      <x:c r="CB45"/>
      <x:c r="CC45"/>
      <x:c r="CD45"/>
      <x:c r="CE45"/>
      <x:c r="CF45"/>
      <x:c r="CG45"/>
      <x:c r="CH45"/>
      <x:c r="CI45"/>
      <x:c r="CJ45"/>
      <x:c r="CK45"/>
      <x:c r="CL45"/>
    </x:row>
    <x:row r="46" s="790" customFormat="1" ht="108.75" customHeight="1">
      <x:c r="A46"/>
      <x:c r="B46"/>
      <x:c r="C46"/>
      <x:c r="D46"/>
      <x:c r="E46" s="980"/>
      <x:c r="F46"/>
      <x:c r="G46"/>
      <x:c r="H46"/>
      <x:c r="I46"/>
      <x:c r="J46"/>
      <x:c r="K46"/>
      <x:c r="L46"/>
      <x:c r="M46"/>
      <x:c r="N46"/>
      <x:c r="O46"/>
      <x:c r="P46"/>
      <x:c r="Q46" s="982"/>
      <x:c r="R46"/>
      <x:c r="S46"/>
      <x:c r="T46" s="600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/>
      <x:c r="AX46"/>
      <x:c r="AY46"/>
      <x:c r="AZ46"/>
      <x:c r="BA46"/>
      <x:c r="BB46"/>
      <x:c r="BC46"/>
      <x:c r="BD46" s="792"/>
      <x:c r="BE46"/>
      <x:c r="BF46"/>
      <x:c r="BG46"/>
      <x:c r="BH46"/>
      <x:c r="BI46"/>
      <x:c r="BJ46"/>
      <x:c r="BK46"/>
      <x:c r="BL46"/>
      <x:c r="BM46"/>
      <x:c r="BN46"/>
      <x:c r="BO46"/>
      <x:c r="BP46"/>
      <x:c r="BQ46"/>
      <x:c r="BR46"/>
      <x:c r="BS46"/>
      <x:c r="BT46"/>
      <x:c r="BU46"/>
      <x:c r="BV46"/>
      <x:c r="BW46"/>
      <x:c r="BX46"/>
      <x:c r="BY46"/>
      <x:c r="BZ46"/>
      <x:c r="CA46"/>
      <x:c r="CB46"/>
      <x:c r="CC46"/>
      <x:c r="CD46"/>
      <x:c r="CE46"/>
      <x:c r="CF46"/>
      <x:c r="CG46"/>
      <x:c r="CH46"/>
      <x:c r="CI46"/>
      <x:c r="CJ46"/>
      <x:c r="CK46"/>
      <x:c r="CL46"/>
    </x:row>
    <x:row r="47" s="790" customFormat="1" ht="108.75" customHeight="1">
      <x:c r="A47"/>
      <x:c r="B47"/>
      <x:c r="C47"/>
      <x:c r="D47"/>
      <x:c r="E47" s="980"/>
      <x:c r="F47"/>
      <x:c r="G47"/>
      <x:c r="H47"/>
      <x:c r="I47"/>
      <x:c r="J47"/>
      <x:c r="K47"/>
      <x:c r="L47"/>
      <x:c r="M47"/>
      <x:c r="N47"/>
      <x:c r="O47"/>
      <x:c r="P47"/>
      <x:c r="Q47" s="982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  <x:c r="AP47"/>
      <x:c r="AQ47"/>
      <x:c r="AR47"/>
      <x:c r="AS47"/>
      <x:c r="AT47"/>
      <x:c r="AU47"/>
      <x:c r="AV47"/>
      <x:c r="AW47"/>
      <x:c r="AX47"/>
      <x:c r="AY47"/>
      <x:c r="AZ47"/>
      <x:c r="BA47"/>
      <x:c r="BB47"/>
      <x:c r="BC47"/>
      <x:c r="BD47" s="792"/>
      <x:c r="BE47"/>
      <x:c r="BF47"/>
      <x:c r="BG47"/>
      <x:c r="BH47"/>
      <x:c r="BI47"/>
      <x:c r="BJ47"/>
      <x:c r="BK47"/>
      <x:c r="BL47"/>
      <x:c r="BM47"/>
      <x:c r="BN47"/>
      <x:c r="BO47"/>
      <x:c r="BP47"/>
      <x:c r="BQ47"/>
      <x:c r="BR47"/>
      <x:c r="BS47"/>
      <x:c r="BT47"/>
      <x:c r="BU47"/>
      <x:c r="BV47"/>
      <x:c r="BW47"/>
      <x:c r="BX47"/>
      <x:c r="BY47"/>
      <x:c r="BZ47"/>
      <x:c r="CA47"/>
      <x:c r="CB47"/>
      <x:c r="CC47"/>
      <x:c r="CD47"/>
      <x:c r="CE47"/>
      <x:c r="CF47"/>
      <x:c r="CG47"/>
      <x:c r="CH47"/>
      <x:c r="CI47"/>
      <x:c r="CJ47"/>
      <x:c r="CK47"/>
      <x:c r="CL47"/>
    </x:row>
    <x:row r="48" s="790" customFormat="1" ht="108.75" customHeight="1">
      <x:c r="A48"/>
      <x:c r="B48"/>
      <x:c r="C48"/>
      <x:c r="D48"/>
      <x:c r="E48" s="980"/>
      <x:c r="F48"/>
      <x:c r="G48"/>
      <x:c r="H48"/>
      <x:c r="I48"/>
      <x:c r="J48"/>
      <x:c r="K48"/>
      <x:c r="L48"/>
      <x:c r="M48"/>
      <x:c r="N48"/>
      <x:c r="O48"/>
      <x:c r="P48"/>
      <x:c r="Q48" s="982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/>
      <x:c r="AY48"/>
      <x:c r="AZ48"/>
      <x:c r="BA48"/>
      <x:c r="BB48"/>
      <x:c r="BC48"/>
      <x:c r="BD48" s="792"/>
      <x:c r="BE48"/>
      <x:c r="BF48"/>
      <x:c r="BG48"/>
      <x:c r="BH48"/>
      <x:c r="BI48"/>
      <x:c r="BJ48"/>
      <x:c r="BK48"/>
      <x:c r="BL48"/>
      <x:c r="BM48"/>
      <x:c r="BN48"/>
      <x:c r="BO48"/>
      <x:c r="BP48"/>
      <x:c r="BQ48"/>
      <x:c r="BR48"/>
      <x:c r="BS48"/>
      <x:c r="BT48"/>
      <x:c r="BU48"/>
      <x:c r="BV48"/>
      <x:c r="BW48"/>
      <x:c r="BX48"/>
      <x:c r="BY48"/>
      <x:c r="BZ48"/>
      <x:c r="CA48"/>
      <x:c r="CB48"/>
      <x:c r="CC48"/>
      <x:c r="CD48"/>
      <x:c r="CE48"/>
      <x:c r="CF48"/>
      <x:c r="CG48"/>
      <x:c r="CH48"/>
      <x:c r="CI48"/>
      <x:c r="CJ48"/>
      <x:c r="CK48"/>
      <x:c r="CL48"/>
    </x:row>
    <x:row r="49" s="790" customFormat="1" ht="108.75" customHeight="1">
      <x:c r="A49"/>
      <x:c r="B49"/>
      <x:c r="C49"/>
      <x:c r="D49"/>
      <x:c r="E49" s="980"/>
      <x:c r="F49"/>
      <x:c r="G49"/>
      <x:c r="H49"/>
      <x:c r="I49"/>
      <x:c r="J49"/>
      <x:c r="K49"/>
      <x:c r="L49"/>
      <x:c r="M49"/>
      <x:c r="N49"/>
      <x:c r="O49"/>
      <x:c r="P49"/>
      <x:c r="Q49" s="982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  <x:c r="AP49"/>
      <x:c r="AQ49"/>
      <x:c r="AR49"/>
      <x:c r="AS49"/>
      <x:c r="AT49"/>
      <x:c r="AU49"/>
      <x:c r="AV49"/>
      <x:c r="AW49"/>
      <x:c r="AX49"/>
      <x:c r="AY49"/>
      <x:c r="AZ49"/>
      <x:c r="BA49"/>
      <x:c r="BB49"/>
      <x:c r="BC49"/>
      <x:c r="BD49" s="792"/>
      <x:c r="BE49"/>
      <x:c r="BF49"/>
      <x:c r="BG49"/>
      <x:c r="BH49"/>
      <x:c r="BI49"/>
      <x:c r="BJ49"/>
      <x:c r="BK49"/>
      <x:c r="BL49"/>
      <x:c r="BM49"/>
      <x:c r="BN49"/>
      <x:c r="BO49"/>
      <x:c r="BP49"/>
      <x:c r="BQ49"/>
      <x:c r="BR49"/>
      <x:c r="BS49"/>
      <x:c r="BT49"/>
      <x:c r="BU49"/>
      <x:c r="BV49"/>
      <x:c r="BW49"/>
      <x:c r="BX49"/>
      <x:c r="BY49"/>
      <x:c r="BZ49"/>
      <x:c r="CA49"/>
      <x:c r="CB49"/>
      <x:c r="CC49"/>
      <x:c r="CD49"/>
      <x:c r="CE49"/>
      <x:c r="CF49"/>
      <x:c r="CG49"/>
      <x:c r="CH49"/>
      <x:c r="CI49"/>
      <x:c r="CJ49"/>
      <x:c r="CK49"/>
      <x:c r="CL49"/>
    </x:row>
    <x:row r="50" s="790" customFormat="1" ht="108.75" customHeight="1">
      <x:c r="A50"/>
      <x:c r="B50"/>
      <x:c r="C50"/>
      <x:c r="D50"/>
      <x:c r="E50" s="980"/>
      <x:c r="F50"/>
      <x:c r="G50"/>
      <x:c r="H50"/>
      <x:c r="I50"/>
      <x:c r="J50"/>
      <x:c r="K50"/>
      <x:c r="L50"/>
      <x:c r="M50"/>
      <x:c r="N50"/>
      <x:c r="O50"/>
      <x:c r="P50"/>
      <x:c r="Q50" s="982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  <x:c r="AP50"/>
      <x:c r="AQ50"/>
      <x:c r="AR50"/>
      <x:c r="AS50"/>
      <x:c r="AT50"/>
      <x:c r="AU50"/>
      <x:c r="AV50"/>
      <x:c r="AW50"/>
      <x:c r="AX50"/>
      <x:c r="AY50"/>
      <x:c r="AZ50"/>
      <x:c r="BA50"/>
      <x:c r="BB50"/>
      <x:c r="BC50"/>
      <x:c r="BD50" s="792"/>
      <x:c r="BE50"/>
      <x:c r="BF50"/>
      <x:c r="BG50"/>
      <x:c r="BH50"/>
      <x:c r="BI50"/>
      <x:c r="BJ50"/>
      <x:c r="BK50"/>
      <x:c r="BL50"/>
      <x:c r="BM50"/>
      <x:c r="BN50"/>
      <x:c r="BO50"/>
      <x:c r="BP50"/>
      <x:c r="BQ50"/>
      <x:c r="BR50"/>
      <x:c r="BS50"/>
      <x:c r="BT50"/>
      <x:c r="BU50"/>
      <x:c r="BV50"/>
      <x:c r="BW50"/>
      <x:c r="BX50"/>
      <x:c r="BY50"/>
      <x:c r="BZ50"/>
      <x:c r="CA50"/>
      <x:c r="CB50"/>
      <x:c r="CC50"/>
      <x:c r="CD50"/>
      <x:c r="CE50"/>
      <x:c r="CF50"/>
      <x:c r="CG50"/>
      <x:c r="CH50"/>
      <x:c r="CI50"/>
      <x:c r="CJ50"/>
      <x:c r="CK50"/>
      <x:c r="CL50"/>
    </x:row>
    <x:row r="51" s="790" customFormat="1" ht="108.75" customHeight="1">
      <x:c r="A51"/>
      <x:c r="B51"/>
      <x:c r="C51"/>
      <x:c r="D51"/>
      <x:c r="E51" s="980"/>
      <x:c r="F51"/>
      <x:c r="G51"/>
      <x:c r="H51"/>
      <x:c r="I51"/>
      <x:c r="J51"/>
      <x:c r="K51"/>
      <x:c r="L51"/>
      <x:c r="M51"/>
      <x:c r="N51"/>
      <x:c r="O51"/>
      <x:c r="P51"/>
      <x:c r="Q51" s="982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  <x:c r="AP51"/>
      <x:c r="AQ51"/>
      <x:c r="AR51"/>
      <x:c r="AS51"/>
      <x:c r="AT51"/>
      <x:c r="AU51"/>
      <x:c r="AV51"/>
      <x:c r="AW51"/>
      <x:c r="AX51"/>
      <x:c r="AY51"/>
      <x:c r="AZ51"/>
      <x:c r="BA51"/>
      <x:c r="BB51"/>
      <x:c r="BC51"/>
      <x:c r="BD51" s="792"/>
      <x:c r="BE51"/>
      <x:c r="BF51"/>
      <x:c r="BG51"/>
      <x:c r="BH51"/>
      <x:c r="BI51"/>
      <x:c r="BJ51"/>
      <x:c r="BK51"/>
      <x:c r="BL51"/>
      <x:c r="BM51"/>
      <x:c r="BN51"/>
      <x:c r="BO51"/>
      <x:c r="BP51"/>
      <x:c r="BQ51"/>
      <x:c r="BR51"/>
      <x:c r="BS51"/>
      <x:c r="BT51"/>
      <x:c r="BU51"/>
      <x:c r="BV51"/>
      <x:c r="BW51"/>
      <x:c r="BX51"/>
      <x:c r="BY51"/>
      <x:c r="BZ51"/>
      <x:c r="CA51"/>
      <x:c r="CB51"/>
      <x:c r="CC51"/>
      <x:c r="CD51"/>
      <x:c r="CE51"/>
      <x:c r="CF51"/>
      <x:c r="CG51"/>
      <x:c r="CH51"/>
      <x:c r="CI51"/>
      <x:c r="CJ51"/>
      <x:c r="CK51"/>
      <x:c r="CL51"/>
    </x:row>
    <x:row r="52">
      <x:c r="A52"/>
      <x:c r="B52"/>
      <x:c r="C52"/>
      <x:c r="D52"/>
      <x:c r="E52" s="980"/>
      <x:c r="F52"/>
      <x:c r="G52"/>
      <x:c r="H52"/>
      <x:c r="I52"/>
      <x:c r="J52"/>
      <x:c r="K52"/>
      <x:c r="L52"/>
      <x:c r="M52"/>
      <x:c r="N52"/>
      <x:c r="O52"/>
      <x:c r="P52"/>
      <x:c r="Q52" s="98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  <x:c r="AP52"/>
      <x:c r="AQ52"/>
      <x:c r="AR52"/>
      <x:c r="AS52"/>
      <x:c r="AT52"/>
      <x:c r="AU52"/>
      <x:c r="AV52"/>
      <x:c r="AW52"/>
      <x:c r="AX52"/>
      <x:c r="AY52"/>
      <x:c r="AZ52"/>
      <x:c r="BA52"/>
      <x:c r="BB52"/>
      <x:c r="BC52"/>
      <x:c r="BD52" s="792"/>
      <x:c r="BE52"/>
      <x:c r="BF52"/>
      <x:c r="BG52"/>
      <x:c r="BH52"/>
      <x:c r="BI52"/>
      <x:c r="BJ52"/>
      <x:c r="BK52"/>
      <x:c r="BL52"/>
      <x:c r="BM52"/>
      <x:c r="BN52"/>
      <x:c r="BO52"/>
      <x:c r="BP52"/>
      <x:c r="BQ52"/>
      <x:c r="BR52"/>
      <x:c r="BS52"/>
      <x:c r="BT52"/>
      <x:c r="BU52"/>
      <x:c r="BV52"/>
      <x:c r="BW52"/>
      <x:c r="BX52"/>
      <x:c r="BY52"/>
      <x:c r="BZ52"/>
      <x:c r="CA52"/>
      <x:c r="CB52"/>
      <x:c r="CC52"/>
      <x:c r="CD52"/>
      <x:c r="CE52"/>
      <x:c r="CF52"/>
      <x:c r="CG52"/>
      <x:c r="CH52"/>
      <x:c r="CI52"/>
      <x:c r="CJ52"/>
      <x:c r="CK52"/>
      <x:c r="CL52"/>
    </x:row>
    <x:row r="53">
      <x:c r="A53"/>
      <x:c r="B53"/>
      <x:c r="C53"/>
      <x:c r="D53"/>
      <x:c r="E53" s="980"/>
      <x:c r="F53"/>
      <x:c r="G53"/>
      <x:c r="H53"/>
      <x:c r="I53"/>
      <x:c r="J53"/>
      <x:c r="K53"/>
      <x:c r="L53"/>
      <x:c r="M53"/>
      <x:c r="N53"/>
      <x:c r="O53"/>
      <x:c r="P53"/>
      <x:c r="Q53" s="982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/>
      <x:c r="AQ53"/>
      <x:c r="AR53"/>
      <x:c r="AS53"/>
      <x:c r="AT53"/>
      <x:c r="AU53"/>
      <x:c r="AV53"/>
      <x:c r="AW53"/>
      <x:c r="AX53"/>
      <x:c r="AY53"/>
      <x:c r="AZ53"/>
      <x:c r="BA53"/>
      <x:c r="BB53"/>
      <x:c r="BC53"/>
      <x:c r="BD53" s="792"/>
      <x:c r="BE53"/>
      <x:c r="BF53"/>
      <x:c r="BG53"/>
      <x:c r="BH53"/>
      <x:c r="BI53"/>
      <x:c r="BJ53"/>
      <x:c r="BK53"/>
      <x:c r="BL53"/>
      <x:c r="BM53"/>
      <x:c r="BN53"/>
      <x:c r="BO53"/>
      <x:c r="BP53"/>
      <x:c r="BQ53"/>
      <x:c r="BR53"/>
      <x:c r="BS53"/>
      <x:c r="BT53"/>
      <x:c r="BU53"/>
      <x:c r="BV53"/>
      <x:c r="BW53"/>
      <x:c r="BX53"/>
      <x:c r="BY53"/>
      <x:c r="BZ53"/>
      <x:c r="CA53"/>
      <x:c r="CB53"/>
      <x:c r="CC53"/>
      <x:c r="CD53"/>
      <x:c r="CE53"/>
      <x:c r="CF53"/>
      <x:c r="CG53"/>
      <x:c r="CH53"/>
      <x:c r="CI53"/>
      <x:c r="CJ53"/>
      <x:c r="CK53"/>
      <x:c r="CL53"/>
    </x:row>
    <x:row r="54">
      <x:c r="A54"/>
      <x:c r="B54"/>
      <x:c r="C54"/>
      <x:c r="D54"/>
      <x:c r="E54" s="980"/>
      <x:c r="F54"/>
      <x:c r="G54"/>
      <x:c r="H54"/>
      <x:c r="I54"/>
      <x:c r="J54"/>
      <x:c r="K54"/>
      <x:c r="L54"/>
      <x:c r="M54"/>
      <x:c r="N54"/>
      <x:c r="O54"/>
      <x:c r="P54"/>
      <x:c r="Q54" s="982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/>
      <x:c r="AT54"/>
      <x:c r="AU54"/>
      <x:c r="AV54"/>
      <x:c r="AW54"/>
      <x:c r="AX54"/>
      <x:c r="AY54"/>
      <x:c r="AZ54"/>
      <x:c r="BA54"/>
      <x:c r="BB54"/>
      <x:c r="BC54"/>
      <x:c r="BD54" s="792"/>
      <x:c r="BE54"/>
      <x:c r="BF54"/>
      <x:c r="BG54"/>
      <x:c r="BH54"/>
      <x:c r="BI54"/>
      <x:c r="BJ54"/>
      <x:c r="BK54"/>
      <x:c r="BL54"/>
      <x:c r="BM54"/>
      <x:c r="BN54"/>
      <x:c r="BO54"/>
      <x:c r="BP54"/>
      <x:c r="BQ54"/>
      <x:c r="BR54"/>
      <x:c r="BS54"/>
      <x:c r="BT54"/>
      <x:c r="BU54"/>
      <x:c r="BV54"/>
      <x:c r="BW54"/>
      <x:c r="BX54"/>
      <x:c r="BY54"/>
      <x:c r="BZ54"/>
      <x:c r="CA54"/>
      <x:c r="CB54"/>
      <x:c r="CC54"/>
      <x:c r="CD54"/>
      <x:c r="CE54"/>
      <x:c r="CF54"/>
      <x:c r="CG54"/>
      <x:c r="CH54"/>
      <x:c r="CI54"/>
      <x:c r="CJ54"/>
      <x:c r="CK54"/>
      <x:c r="CL54"/>
    </x:row>
    <x:row r="55">
      <x:c r="A55"/>
      <x:c r="B55"/>
      <x:c r="C55"/>
      <x:c r="D55"/>
      <x:c r="E55" s="980"/>
      <x:c r="F55"/>
      <x:c r="G55"/>
      <x:c r="H55"/>
      <x:c r="I55"/>
      <x:c r="J55"/>
      <x:c r="K55"/>
      <x:c r="L55"/>
      <x:c r="M55"/>
      <x:c r="N55"/>
      <x:c r="O55"/>
      <x:c r="P55"/>
      <x:c r="Q55" s="982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/>
      <x:c r="AR55"/>
      <x:c r="AS55"/>
      <x:c r="AT55"/>
      <x:c r="AU55"/>
      <x:c r="AV55"/>
      <x:c r="AW55"/>
      <x:c r="AX55"/>
      <x:c r="AY55"/>
      <x:c r="AZ55"/>
      <x:c r="BA55"/>
      <x:c r="BB55"/>
      <x:c r="BC55"/>
      <x:c r="BD55" s="792"/>
      <x:c r="BE55"/>
      <x:c r="BF55"/>
      <x:c r="BG55"/>
      <x:c r="BH55"/>
      <x:c r="BI55"/>
      <x:c r="BJ55"/>
      <x:c r="BK55"/>
      <x:c r="BL55"/>
      <x:c r="BM55"/>
      <x:c r="BN55"/>
      <x:c r="BO55"/>
      <x:c r="BP55"/>
      <x:c r="BQ55"/>
      <x:c r="BR55"/>
      <x:c r="BS55"/>
      <x:c r="BT55"/>
      <x:c r="BU55"/>
      <x:c r="BV55"/>
      <x:c r="BW55"/>
      <x:c r="BX55"/>
      <x:c r="BY55"/>
      <x:c r="BZ55"/>
      <x:c r="CA55"/>
      <x:c r="CB55"/>
      <x:c r="CC55"/>
      <x:c r="CD55"/>
      <x:c r="CE55"/>
      <x:c r="CF55"/>
      <x:c r="CG55"/>
      <x:c r="CH55"/>
      <x:c r="CI55"/>
      <x:c r="CJ55"/>
      <x:c r="CK55"/>
      <x:c r="CL55"/>
    </x:row>
    <x:row r="56">
      <x:c r="A56"/>
      <x:c r="B56"/>
      <x:c r="C56"/>
      <x:c r="D56"/>
      <x:c r="E56" s="980"/>
      <x:c r="F56"/>
      <x:c r="G56"/>
      <x:c r="H56"/>
      <x:c r="I56"/>
      <x:c r="J56"/>
      <x:c r="K56"/>
      <x:c r="L56"/>
      <x:c r="M56"/>
      <x:c r="N56"/>
      <x:c r="O56"/>
      <x:c r="P56"/>
      <x:c r="Q56" s="982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  <x:c r="AP56"/>
      <x:c r="AQ56"/>
      <x:c r="AR56"/>
      <x:c r="AS56"/>
      <x:c r="AT56"/>
      <x:c r="AU56"/>
      <x:c r="AV56"/>
      <x:c r="AW56"/>
      <x:c r="AX56"/>
      <x:c r="AY56"/>
      <x:c r="AZ56"/>
      <x:c r="BA56"/>
      <x:c r="BB56"/>
      <x:c r="BC56"/>
      <x:c r="BD56" s="792"/>
      <x:c r="BE56"/>
      <x:c r="BF56"/>
      <x:c r="BG56"/>
      <x:c r="BH56"/>
      <x:c r="BI56"/>
      <x:c r="BJ56"/>
      <x:c r="BK56"/>
      <x:c r="BL56"/>
      <x:c r="BM56"/>
      <x:c r="BN56"/>
      <x:c r="BO56"/>
      <x:c r="BP56"/>
      <x:c r="BQ56"/>
      <x:c r="BR56"/>
      <x:c r="BS56"/>
      <x:c r="BT56"/>
      <x:c r="BU56"/>
      <x:c r="BV56"/>
      <x:c r="BW56"/>
      <x:c r="BX56"/>
      <x:c r="BY56"/>
      <x:c r="BZ56"/>
      <x:c r="CA56"/>
      <x:c r="CB56"/>
      <x:c r="CC56"/>
      <x:c r="CD56"/>
      <x:c r="CE56"/>
      <x:c r="CF56"/>
      <x:c r="CG56"/>
      <x:c r="CH56"/>
      <x:c r="CI56"/>
      <x:c r="CJ56"/>
      <x:c r="CK56"/>
      <x:c r="CL56"/>
    </x:row>
    <x:row r="57">
      <x:c r="A57"/>
      <x:c r="B57"/>
      <x:c r="C57"/>
      <x:c r="D57"/>
      <x:c r="E57" s="980"/>
      <x:c r="F57"/>
      <x:c r="G57"/>
      <x:c r="H57"/>
      <x:c r="I57"/>
      <x:c r="J57"/>
      <x:c r="K57"/>
      <x:c r="L57"/>
      <x:c r="M57"/>
      <x:c r="N57"/>
      <x:c r="O57"/>
      <x:c r="P57"/>
      <x:c r="Q57" s="982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/>
      <x:c r="AR57"/>
      <x:c r="AS57"/>
      <x:c r="AT57"/>
      <x:c r="AU57"/>
      <x:c r="AV57"/>
      <x:c r="AW57"/>
      <x:c r="AX57"/>
      <x:c r="AY57"/>
      <x:c r="AZ57"/>
      <x:c r="BA57"/>
      <x:c r="BB57"/>
      <x:c r="BC57"/>
      <x:c r="BD57" s="792"/>
      <x:c r="BE57"/>
      <x:c r="BF57"/>
      <x:c r="BG57"/>
      <x:c r="BH57"/>
      <x:c r="BI57"/>
      <x:c r="BJ57"/>
      <x:c r="BK57"/>
      <x:c r="BL57"/>
      <x:c r="BM57"/>
      <x:c r="BN57"/>
      <x:c r="BO57"/>
      <x:c r="BP57"/>
      <x:c r="BQ57"/>
      <x:c r="BR57"/>
      <x:c r="BS57"/>
      <x:c r="BT57"/>
      <x:c r="BU57"/>
      <x:c r="BV57"/>
      <x:c r="BW57"/>
      <x:c r="BX57"/>
      <x:c r="BY57"/>
      <x:c r="BZ57"/>
      <x:c r="CA57"/>
      <x:c r="CB57"/>
      <x:c r="CC57"/>
      <x:c r="CD57"/>
      <x:c r="CE57"/>
      <x:c r="CF57"/>
      <x:c r="CG57"/>
      <x:c r="CH57"/>
      <x:c r="CI57"/>
      <x:c r="CJ57"/>
      <x:c r="CK57"/>
      <x:c r="CL57"/>
    </x:row>
    <x:row r="58">
      <x:c r="A58"/>
      <x:c r="B58"/>
      <x:c r="C58"/>
      <x:c r="D58"/>
      <x:c r="E58" s="980"/>
      <x:c r="F58"/>
      <x:c r="G58"/>
      <x:c r="H58"/>
      <x:c r="I58"/>
      <x:c r="J58"/>
      <x:c r="K58"/>
      <x:c r="L58"/>
      <x:c r="M58"/>
      <x:c r="N58"/>
      <x:c r="O58"/>
      <x:c r="P58"/>
      <x:c r="Q58" s="982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  <x:c r="AP58"/>
      <x:c r="AQ58"/>
      <x:c r="AR58"/>
      <x:c r="AS58"/>
      <x:c r="AT58"/>
      <x:c r="AU58"/>
      <x:c r="AV58"/>
      <x:c r="AW58"/>
      <x:c r="AX58"/>
      <x:c r="AY58"/>
      <x:c r="AZ58"/>
      <x:c r="BA58"/>
      <x:c r="BB58"/>
      <x:c r="BC58"/>
      <x:c r="BD58" s="792"/>
      <x:c r="BE58"/>
      <x:c r="BF58"/>
      <x:c r="BG58"/>
      <x:c r="BH58"/>
      <x:c r="BI58"/>
      <x:c r="BJ58"/>
      <x:c r="BK58"/>
      <x:c r="BL58"/>
      <x:c r="BM58"/>
      <x:c r="BN58"/>
      <x:c r="BO58"/>
      <x:c r="BP58"/>
      <x:c r="BQ58"/>
      <x:c r="BR58"/>
      <x:c r="BS58"/>
      <x:c r="BT58"/>
      <x:c r="BU58"/>
      <x:c r="BV58"/>
      <x:c r="BW58"/>
      <x:c r="BX58"/>
      <x:c r="BY58"/>
      <x:c r="BZ58"/>
      <x:c r="CA58"/>
      <x:c r="CB58"/>
      <x:c r="CC58"/>
      <x:c r="CD58"/>
      <x:c r="CE58"/>
      <x:c r="CF58"/>
      <x:c r="CG58"/>
      <x:c r="CH58"/>
      <x:c r="CI58"/>
      <x:c r="CJ58"/>
      <x:c r="CK58"/>
      <x:c r="CL58"/>
    </x:row>
    <x:row r="59">
      <x:c r="A59"/>
      <x:c r="B59"/>
      <x:c r="C59"/>
      <x:c r="D59"/>
      <x:c r="E59" s="980"/>
      <x:c r="F59"/>
      <x:c r="G59"/>
      <x:c r="H59"/>
      <x:c r="I59"/>
      <x:c r="J59"/>
      <x:c r="K59"/>
      <x:c r="L59"/>
      <x:c r="M59"/>
      <x:c r="N59"/>
      <x:c r="O59"/>
      <x:c r="P59"/>
      <x:c r="Q59" s="982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  <x:c r="AP59"/>
      <x:c r="AQ59"/>
      <x:c r="AR59"/>
      <x:c r="AS59"/>
      <x:c r="AT59"/>
      <x:c r="AU59"/>
      <x:c r="AV59"/>
      <x:c r="AW59"/>
      <x:c r="AX59"/>
      <x:c r="AY59"/>
      <x:c r="AZ59"/>
      <x:c r="BA59"/>
      <x:c r="BB59"/>
      <x:c r="BC59"/>
      <x:c r="BD59" s="792"/>
      <x:c r="BE59"/>
      <x:c r="BF59"/>
      <x:c r="BG59"/>
      <x:c r="BH59"/>
      <x:c r="BI59"/>
      <x:c r="BJ59"/>
      <x:c r="BK59"/>
      <x:c r="BL59"/>
      <x:c r="BM59"/>
      <x:c r="BN59"/>
      <x:c r="BO59"/>
      <x:c r="BP59"/>
      <x:c r="BQ59"/>
      <x:c r="BR59"/>
      <x:c r="BS59"/>
      <x:c r="BT59"/>
      <x:c r="BU59"/>
      <x:c r="BV59"/>
      <x:c r="BW59"/>
      <x:c r="BX59"/>
      <x:c r="BY59"/>
      <x:c r="BZ59"/>
      <x:c r="CA59"/>
      <x:c r="CB59"/>
      <x:c r="CC59"/>
      <x:c r="CD59"/>
      <x:c r="CE59"/>
      <x:c r="CF59"/>
      <x:c r="CG59"/>
      <x:c r="CH59"/>
      <x:c r="CI59"/>
      <x:c r="CJ59"/>
      <x:c r="CK59"/>
      <x:c r="CL59"/>
    </x:row>
    <x:row r="60">
      <x:c r="A60"/>
      <x:c r="B60"/>
      <x:c r="C60"/>
      <x:c r="D60"/>
      <x:c r="E60" s="980"/>
      <x:c r="F60"/>
      <x:c r="G60"/>
      <x:c r="H60"/>
      <x:c r="I60"/>
      <x:c r="J60"/>
      <x:c r="K60"/>
      <x:c r="L60"/>
      <x:c r="M60"/>
      <x:c r="N60"/>
      <x:c r="O60"/>
      <x:c r="P60"/>
      <x:c r="Q60" s="982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/>
      <x:c r="AR60"/>
      <x:c r="AS60"/>
      <x:c r="AT60"/>
      <x:c r="AU60"/>
      <x:c r="AV60"/>
      <x:c r="AW60"/>
      <x:c r="AX60"/>
      <x:c r="AY60"/>
      <x:c r="AZ60"/>
      <x:c r="BA60"/>
      <x:c r="BB60"/>
      <x:c r="BC60"/>
      <x:c r="BD60" s="792"/>
      <x:c r="BE60"/>
      <x:c r="BF60"/>
      <x:c r="BG60"/>
      <x:c r="BH60"/>
      <x:c r="BI60"/>
      <x:c r="BJ60"/>
      <x:c r="BK60"/>
      <x:c r="BL60"/>
      <x:c r="BM60"/>
      <x:c r="BN60"/>
      <x:c r="BO60"/>
      <x:c r="BP60"/>
      <x:c r="BQ60"/>
      <x:c r="BR60"/>
      <x:c r="BS60"/>
      <x:c r="BT60"/>
      <x:c r="BU60"/>
      <x:c r="BV60"/>
      <x:c r="BW60"/>
      <x:c r="BX60"/>
      <x:c r="BY60"/>
      <x:c r="BZ60"/>
      <x:c r="CA60"/>
      <x:c r="CB60"/>
      <x:c r="CC60"/>
      <x:c r="CD60"/>
      <x:c r="CE60"/>
      <x:c r="CF60"/>
      <x:c r="CG60"/>
      <x:c r="CH60"/>
      <x:c r="CI60"/>
      <x:c r="CJ60"/>
      <x:c r="CK60"/>
      <x:c r="CL60"/>
    </x:row>
    <x:row r="61">
      <x:c r="A61"/>
      <x:c r="B61"/>
      <x:c r="C61"/>
      <x:c r="D61"/>
      <x:c r="E61" s="980"/>
      <x:c r="F61"/>
      <x:c r="G61"/>
      <x:c r="H61"/>
      <x:c r="I61"/>
      <x:c r="J61"/>
      <x:c r="K61"/>
      <x:c r="L61"/>
      <x:c r="M61"/>
      <x:c r="N61"/>
      <x:c r="O61"/>
      <x:c r="P61"/>
      <x:c r="Q61" s="982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/>
      <x:c r="AZ61"/>
      <x:c r="BA61"/>
      <x:c r="BB61"/>
      <x:c r="BC61"/>
      <x:c r="BD61" s="792"/>
      <x:c r="BE61"/>
      <x:c r="BF61"/>
      <x:c r="BG61"/>
      <x:c r="BH61"/>
      <x:c r="BI61"/>
      <x:c r="BJ61"/>
      <x:c r="BK61"/>
      <x:c r="BL61"/>
      <x:c r="BM61"/>
      <x:c r="BN61"/>
      <x:c r="BO61"/>
      <x:c r="BP61"/>
      <x:c r="BQ61"/>
      <x:c r="BR61"/>
      <x:c r="BS61"/>
      <x:c r="BT61"/>
      <x:c r="BU61"/>
      <x:c r="BV61"/>
      <x:c r="BW61"/>
      <x:c r="BX61"/>
      <x:c r="BY61"/>
      <x:c r="BZ61"/>
      <x:c r="CA61"/>
      <x:c r="CB61"/>
      <x:c r="CC61"/>
      <x:c r="CD61"/>
      <x:c r="CE61"/>
      <x:c r="CF61"/>
      <x:c r="CG61"/>
      <x:c r="CH61"/>
      <x:c r="CI61"/>
      <x:c r="CJ61"/>
      <x:c r="CK61"/>
      <x:c r="CL61"/>
    </x:row>
    <x:row r="62">
      <x:c r="A62"/>
      <x:c r="B62"/>
      <x:c r="C62"/>
      <x:c r="D62"/>
      <x:c r="E62" s="980"/>
      <x:c r="F62"/>
      <x:c r="G62"/>
      <x:c r="H62"/>
      <x:c r="I62"/>
      <x:c r="J62"/>
      <x:c r="K62"/>
      <x:c r="L62"/>
      <x:c r="M62"/>
      <x:c r="N62"/>
      <x:c r="O62"/>
      <x:c r="P62"/>
      <x:c r="Q62" s="98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  <x:c r="AP62"/>
      <x:c r="AQ62"/>
      <x:c r="AR62"/>
      <x:c r="AS62"/>
      <x:c r="AT62"/>
      <x:c r="AU62"/>
      <x:c r="AV62"/>
      <x:c r="AW62"/>
      <x:c r="AX62"/>
      <x:c r="AY62"/>
      <x:c r="AZ62"/>
      <x:c r="BA62"/>
      <x:c r="BB62"/>
      <x:c r="BC62"/>
      <x:c r="BD62" s="792"/>
      <x:c r="BE62"/>
      <x:c r="BF62"/>
      <x:c r="BG62"/>
      <x:c r="BH62"/>
      <x:c r="BI62"/>
      <x:c r="BJ62"/>
      <x:c r="BK62"/>
      <x:c r="BL62"/>
      <x:c r="BM62"/>
      <x:c r="BN62"/>
      <x:c r="BO62"/>
      <x:c r="BP62"/>
      <x:c r="BQ62"/>
      <x:c r="BR62"/>
      <x:c r="BS62"/>
      <x:c r="BT62"/>
      <x:c r="BU62"/>
      <x:c r="BV62"/>
      <x:c r="BW62"/>
      <x:c r="BX62"/>
      <x:c r="BY62"/>
      <x:c r="BZ62"/>
      <x:c r="CA62"/>
      <x:c r="CB62"/>
      <x:c r="CC62"/>
      <x:c r="CD62"/>
      <x:c r="CE62"/>
      <x:c r="CF62"/>
      <x:c r="CG62"/>
      <x:c r="CH62"/>
      <x:c r="CI62"/>
      <x:c r="CJ62"/>
      <x:c r="CK62"/>
      <x:c r="CL62"/>
    </x:row>
    <x:row r="63">
      <x:c r="A63"/>
      <x:c r="B63"/>
      <x:c r="C63"/>
      <x:c r="D63"/>
      <x:c r="E63" s="980"/>
      <x:c r="F63"/>
      <x:c r="G63"/>
      <x:c r="H63"/>
      <x:c r="I63"/>
      <x:c r="J63"/>
      <x:c r="K63"/>
      <x:c r="L63"/>
      <x:c r="M63"/>
      <x:c r="N63"/>
      <x:c r="O63"/>
      <x:c r="P63"/>
      <x:c r="Q63" s="982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  <x:c r="AP63"/>
      <x:c r="AQ63"/>
      <x:c r="AR63"/>
      <x:c r="AS63"/>
      <x:c r="AT63"/>
      <x:c r="AU63"/>
      <x:c r="AV63"/>
      <x:c r="AW63"/>
      <x:c r="AX63"/>
      <x:c r="AY63"/>
      <x:c r="AZ63"/>
      <x:c r="BA63"/>
      <x:c r="BB63"/>
      <x:c r="BC63"/>
      <x:c r="BD63" s="792"/>
      <x:c r="BE63"/>
      <x:c r="BF63"/>
      <x:c r="BG63"/>
      <x:c r="BH63"/>
      <x:c r="BI63"/>
      <x:c r="BJ63"/>
      <x:c r="BK63"/>
      <x:c r="BL63"/>
      <x:c r="BM63"/>
      <x:c r="BN63"/>
      <x:c r="BO63"/>
      <x:c r="BP63"/>
      <x:c r="BQ63"/>
      <x:c r="BR63"/>
      <x:c r="BS63"/>
      <x:c r="BT63"/>
      <x:c r="BU63"/>
      <x:c r="BV63"/>
      <x:c r="BW63"/>
      <x:c r="BX63"/>
      <x:c r="BY63"/>
      <x:c r="BZ63"/>
      <x:c r="CA63"/>
      <x:c r="CB63"/>
      <x:c r="CC63"/>
      <x:c r="CD63"/>
      <x:c r="CE63"/>
      <x:c r="CF63"/>
      <x:c r="CG63"/>
      <x:c r="CH63"/>
      <x:c r="CI63"/>
      <x:c r="CJ63"/>
      <x:c r="CK63"/>
      <x:c r="CL63"/>
    </x:row>
    <x:row r="64">
      <x:c r="A64"/>
      <x:c r="B64"/>
      <x:c r="C64"/>
      <x:c r="D64"/>
      <x:c r="E64" s="980"/>
      <x:c r="F64"/>
      <x:c r="G64"/>
      <x:c r="H64"/>
      <x:c r="I64"/>
      <x:c r="J64"/>
      <x:c r="K64"/>
      <x:c r="L64"/>
      <x:c r="M64"/>
      <x:c r="N64"/>
      <x:c r="O64"/>
      <x:c r="P64"/>
      <x:c r="Q64" s="982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/>
      <x:c r="AZ64"/>
      <x:c r="BA64"/>
      <x:c r="BB64"/>
      <x:c r="BC64"/>
      <x:c r="BD64" s="792"/>
      <x:c r="BE64"/>
      <x:c r="BF64"/>
      <x:c r="BG64"/>
      <x:c r="BH64"/>
      <x:c r="BI64"/>
      <x:c r="BJ64"/>
      <x:c r="BK64"/>
      <x:c r="BL64"/>
      <x:c r="BM64"/>
      <x:c r="BN64"/>
      <x:c r="BO64"/>
      <x:c r="BP64"/>
      <x:c r="BQ64"/>
      <x:c r="BR64"/>
      <x:c r="BS64"/>
      <x:c r="BT64"/>
      <x:c r="BU64"/>
      <x:c r="BV64"/>
      <x:c r="BW64"/>
      <x:c r="BX64"/>
      <x:c r="BY64"/>
      <x:c r="BZ64"/>
      <x:c r="CA64"/>
      <x:c r="CB64"/>
      <x:c r="CC64"/>
      <x:c r="CD64"/>
      <x:c r="CE64"/>
      <x:c r="CF64"/>
      <x:c r="CG64"/>
      <x:c r="CH64"/>
      <x:c r="CI64"/>
      <x:c r="CJ64"/>
      <x:c r="CK64"/>
      <x:c r="CL64"/>
    </x:row>
  </x:sheetData>
  <x:mergeCells>
    <x:mergeCell ref="R21:R36"/>
    <x:mergeCell ref="S21:S36"/>
    <x:mergeCell ref="AB4:AB18"/>
    <x:mergeCell ref="AB19:AB36"/>
    <x:mergeCell ref="AQ4:AQ18"/>
    <x:mergeCell ref="AQ19:AQ36"/>
    <x:mergeCell ref="AS4:AS18"/>
    <x:mergeCell ref="AS19:AS20"/>
    <x:mergeCell ref="AS21:AS36"/>
    <x:mergeCell ref="AT21:AT36"/>
    <x:mergeCell ref="AU21:AU36"/>
    <x:mergeCell ref="AV21:AV36"/>
    <x:mergeCell ref="AW21:AW36"/>
    <x:mergeCell ref="AX21:AX36"/>
    <x:mergeCell ref="BD4:BD18"/>
    <x:mergeCell ref="BD19:BD36"/>
  </x:mergeCells>
  <x:dataValidations count="4">
    <x:dataValidation type="list" allowBlank="1" showInputMessage="1" showErrorMessage="1" sqref="I3 I42:I1048576">
      <x:formula1>类别金额!$B$4:$B$38</x:formula1>
    </x:dataValidation>
    <x:dataValidation type="list" allowBlank="1" showInputMessage="1" showErrorMessage="1" sqref="I41">
      <x:formula1>类别金额!$B$4:$B$25</x:formula1>
    </x:dataValidation>
    <x:dataValidation type="list" allowBlank="1" showInputMessage="1" showErrorMessage="1" sqref="I4:I36">
      <x:formula1>类别金额!$B$4:$B$18</x:formula1>
    </x:dataValidation>
    <x:dataValidation type="list" allowBlank="1" showInputMessage="1" showErrorMessage="1" sqref="I39:I40">
      <x:formula1>类别金额!$B$4:$B$19</x:formula1>
    </x:dataValidation>
  </x:dataValidations>
  <x:pageMargins left="0.7" right="0.7" top="0.75" bottom="0.75" header="0.3" footer="0.3"/>
  <x:legacyDrawing xmlns:r="http://schemas.openxmlformats.org/officeDocument/2006/relationships" r:id="R3012e80d4b694152"/>
</x:worksheet>
</file>

<file path=xl/worksheets/sheet3.xml><?xml version="1.0" encoding="utf-8"?>
<x:worksheet xmlns:x="http://schemas.openxmlformats.org/spreadsheetml/2006/main">
  <x:sheetFormatPr defaultColWidth="19.299999237060547" defaultRowHeight="13.5"/>
  <x:cols>
    <x:col min="1" max="1" width="6.633333206176758" customWidth="1"/>
    <x:col min="2" max="2" width="28.66666603088379" customWidth="1"/>
    <x:col min="3" max="3" width="65.05833435058594" customWidth="1"/>
    <x:col min="4" max="4" width="15.675000190734863" customWidth="1"/>
    <x:col min="5" max="5" width="11.991666793823242" customWidth="1"/>
    <x:col min="6" max="6" width="19.28333282470703" customWidth="1"/>
    <x:col min="7" max="7" width="21.600000381469727" customWidth="1"/>
    <x:col min="8" max="8" width="21.066667556762695" customWidth="1"/>
    <x:col min="9" max="16384" width="19.299999237060547" customWidth="1"/>
  </x:cols>
  <x:sheetData>
    <x:row r="1" ht="30" customHeight="1">
      <x:c r="B1" s="721" t="s">
        <x:v>73</x:v>
      </x:c>
      <x:c r="C1" s="721"/>
      <x:c r="D1" s="721"/>
      <x:c r="E1" s="721"/>
      <x:c r="F1" s="721"/>
      <x:c r="G1" s="721"/>
      <x:c r="H1" s="721"/>
    </x:row>
    <x:row r="2" ht="18">
      <x:c r="B2" s="722" t="s">
        <x:v>74</x:v>
      </x:c>
      <x:c r="C2" s="722"/>
      <x:c r="D2" s="722"/>
      <x:c r="E2" s="722"/>
      <x:c r="F2" s="722"/>
      <x:c r="G2" s="722"/>
      <x:c r="H2" s="722"/>
    </x:row>
    <x:row r="3" ht="42" customHeight="1">
      <x:c r="B3" s="723" t="s">
        <x:v>75</x:v>
      </x:c>
      <x:c r="C3" s="723"/>
      <x:c r="D3" s="723"/>
      <x:c r="E3" s="723"/>
      <x:c r="F3" s="723"/>
      <x:c r="G3" s="723"/>
      <x:c r="H3" s="723"/>
    </x:row>
    <x:row r="4" ht="18">
      <x:c r="B4" s="595"/>
      <x:c r="C4" s="596"/>
      <x:c r="D4" s="596"/>
      <x:c r="E4" s="597"/>
      <x:c r="F4" s="595"/>
      <x:c r="G4" s="598"/>
      <x:c r="H4" s="546"/>
    </x:row>
    <x:row r="5" ht="18.75">
      <x:c r="B5" s="599" t="s">
        <x:v>76</x:v>
      </x:c>
      <x:c r="C5" s="724" t="s">
        <x:v>73</x:v>
      </x:c>
      <x:c r="D5" s="724"/>
      <x:c r="E5" s="724"/>
      <x:c r="F5" s="725"/>
      <x:c r="G5" s="601" t="s">
        <x:v>77</x:v>
      </x:c>
      <x:c r="H5" s="534" t="s">
        <x:v>78</x:v>
      </x:c>
    </x:row>
    <x:row r="6" ht="18.75">
      <x:c r="B6" s="599"/>
      <x:c r="C6" s="724" t="s">
        <x:v>79</x:v>
      </x:c>
      <x:c r="D6" s="724"/>
      <x:c r="E6" s="724"/>
      <x:c r="F6" s="725"/>
      <x:c r="G6" s="601"/>
      <x:c r="H6" s="602"/>
    </x:row>
    <x:row r="7" ht="18.75">
      <x:c r="B7" s="599"/>
      <x:c r="C7" s="547" t="s">
        <x:v>80</x:v>
      </x:c>
      <x:c r="D7" s="726"/>
      <x:c r="E7" s="724"/>
      <x:c r="F7" s="725"/>
      <x:c r="G7" s="601"/>
      <x:c r="H7" s="534"/>
    </x:row>
    <x:row r="8" ht="18.75">
      <x:c r="B8" s="546"/>
      <x:c r="C8" s="544" t="s">
        <x:v>81</x:v>
      </x:c>
      <x:c r="D8" s="544"/>
      <x:c r="E8" s="544"/>
      <x:c r="F8" s="544"/>
      <x:c r="G8" s="407"/>
      <x:c r="H8" s="603"/>
    </x:row>
    <x:row r="9" ht="18.75">
      <x:c r="B9" s="600"/>
      <x:c r="C9" s="544"/>
      <x:c r="D9" s="544"/>
      <x:c r="E9" s="544"/>
      <x:c r="F9" s="544"/>
      <x:c r="G9" s="601" t="s">
        <x:v>82</x:v>
      </x:c>
      <x:c r="H9" s="604">
        <x:v>46203</x:v>
      </x:c>
    </x:row>
    <x:row r="10" ht="35" customHeight="1">
      <x:c r="B10" s="599"/>
      <x:c r="C10" s="544"/>
      <x:c r="D10" s="544"/>
      <x:c r="E10" s="544"/>
      <x:c r="F10" s="544"/>
      <x:c r="G10" s="601"/>
      <x:c r="H10" s="605"/>
    </x:row>
    <x:row r="11" ht="18.75">
      <x:c r="B11" s="493" t="s">
        <x:v>83</x:v>
      </x:c>
      <x:c r="C11" s="546" t="s">
        <x:v>84</x:v>
      </x:c>
      <x:c r="D11" s="546"/>
      <x:c r="E11" s="546"/>
      <x:c r="F11" s="600"/>
      <x:c r="G11" s="601"/>
      <x:c r="H11" s="534"/>
    </x:row>
    <x:row r="12" ht="18.75">
      <x:c r="B12" s="493"/>
      <x:c r="C12" s="546" t="s">
        <x:v>85</x:v>
      </x:c>
      <x:c r="D12" s="546"/>
      <x:c r="E12" s="546"/>
      <x:c r="F12" s="600"/>
      <x:c r="G12" s="601"/>
      <x:c r="H12" s="534"/>
    </x:row>
    <x:row r="13" ht="48" customHeight="1">
      <x:c r="B13" s="546" t="s">
        <x:v>86</x:v>
      </x:c>
      <x:c r="C13" s="529" t="s">
        <x:v>87</x:v>
      </x:c>
      <x:c r="D13" s="529"/>
      <x:c r="E13" s="529"/>
      <x:c r="F13" s="529"/>
      <x:c r="G13" s="601" t="s">
        <x:v>88</x:v>
      </x:c>
      <x:c r="H13" s="534" t="s">
        <x:v>89</x:v>
      </x:c>
    </x:row>
    <x:row r="14" ht="24" customHeight="1">
      <x:c r="B14" s="606"/>
      <x:c r="C14" s="529"/>
      <x:c r="D14" s="529"/>
      <x:c r="E14" s="529"/>
      <x:c r="F14" s="529"/>
      <x:c r="G14" s="601"/>
      <x:c r="H14" s="537"/>
    </x:row>
    <x:row r="15" ht="18">
      <x:c r="B15" s="493" t="s">
        <x:v>90</x:v>
      </x:c>
      <x:c r="C15" s="607" t="s">
        <x:v>91</x:v>
      </x:c>
      <x:c r="D15" s="547"/>
      <x:c r="E15" s="547"/>
      <x:c r="F15" s="608"/>
      <x:c r="G15" s="609"/>
      <x:c r="H15" s="597"/>
    </x:row>
    <x:row r="16" ht="40" customHeight="1">
      <x:c r="B16" s="493"/>
      <x:c r="C16" s="541" t="s">
        <x:v>92</x:v>
      </x:c>
      <x:c r="D16" s="541"/>
      <x:c r="E16" s="541"/>
      <x:c r="F16" s="541"/>
      <x:c r="G16" s="609"/>
      <x:c r="H16" s="597"/>
    </x:row>
    <x:row r="17" ht="18">
      <x:c r="B17" s="493"/>
      <x:c r="C17" s="546" t="s">
        <x:v>93</x:v>
      </x:c>
      <x:c r="D17" s="547"/>
      <x:c r="E17" s="547"/>
      <x:c r="F17" s="608"/>
      <x:c r="G17" s="609"/>
      <x:c r="H17" s="597"/>
    </x:row>
    <x:row r="18" ht="18">
      <x:c r="B18" s="493"/>
      <x:c r="C18" s="546" t="s">
        <x:v>94</x:v>
      </x:c>
      <x:c r="D18" s="547"/>
      <x:c r="E18" s="547"/>
      <x:c r="F18" s="608"/>
      <x:c r="G18" s="597"/>
      <x:c r="H18" s="597"/>
    </x:row>
    <x:row r="19" ht="15.75">
      <x:c r="B19" s="611" t="s">
        <x:v>95</x:v>
      </x:c>
      <x:c r="C19" s="612"/>
      <x:c r="D19" s="612"/>
      <x:c r="E19" s="612"/>
      <x:c r="F19" s="595"/>
      <x:c r="G19" s="597"/>
      <x:c r="H19" s="597"/>
    </x:row>
    <x:row r="20" ht="15">
      <x:c r="B20" s="613" t="s">
        <x:v>96</x:v>
      </x:c>
      <x:c r="C20" s="613"/>
      <x:c r="D20" s="613"/>
      <x:c r="E20" s="613"/>
      <x:c r="F20" s="613"/>
      <x:c r="G20" s="613"/>
      <x:c r="H20" s="613"/>
    </x:row>
    <x:row r="21" ht="2" customHeight="1">
      <x:c r="B21" s="614"/>
      <x:c r="C21" s="615"/>
      <x:c r="D21" s="616"/>
      <x:c r="E21" s="615"/>
      <x:c r="F21" s="615"/>
      <x:c r="G21" s="615"/>
      <x:c r="H21" s="597"/>
    </x:row>
    <x:row r="22" ht="36">
      <x:c r="B22" s="617" t="s">
        <x:v>97</x:v>
      </x:c>
      <x:c r="C22" s="617" t="s">
        <x:v>98</x:v>
      </x:c>
      <x:c r="D22" s="617" t="s">
        <x:v>99</x:v>
      </x:c>
      <x:c r="E22" s="618" t="s">
        <x:v>100</x:v>
      </x:c>
      <x:c r="F22" s="619" t="s">
        <x:v>101</x:v>
      </x:c>
      <x:c r="G22" s="617" t="s">
        <x:v>102</x:v>
      </x:c>
      <x:c r="H22" s="617" t="s">
        <x:v>103</x:v>
      </x:c>
    </x:row>
    <x:row r="23" ht="18">
      <x:c r="B23" s="617"/>
      <x:c r="C23" s="617"/>
      <x:c r="D23" s="617"/>
      <x:c r="E23" s="618"/>
      <x:c r="F23" s="620" t="s">
        <x:v>104</x:v>
      </x:c>
      <x:c r="G23" s="620"/>
      <x:c r="H23" s="617"/>
    </x:row>
    <x:row r="24" ht="41" customHeight="1">
      <x:c r="A24" s="407">
        <x:v>1</x:v>
      </x:c>
      <x:c r="B24" s="621" t="e" cm="1">
        <x:f t="array" ref="B24">LOOKUP(1,0/((WHSU6439229!V:V=$H$5)*(WHSU6439229!A:A=A24)),WHSU6439229!D:D)</x:f>
        <x:v>#N/A</x:v>
      </x:c>
      <x:c r="C24" s="621" t="e" cm="1">
        <x:f t="array" ref="C24">LOOKUP(1,0/((WHSU6439229!V:V=$H$5)*(WHSU6439229!A:A=A24)),WHSU6439229!G:G&amp;WHSU6439229!F:F)</x:f>
        <x:v>#N/A</x:v>
      </x:c>
      <x:c r="D24" s="621" t="e" cm="1">
        <x:f t="array" ref="D24">LOOKUP(1,0/((WHSU6439229!V:V=$H$5)*(WHSU6439229!A:A=A24)),WHSU6439229!K:K)</x:f>
        <x:v>#N/A</x:v>
      </x:c>
      <x:c r="E24" s="578" t="e" cm="1">
        <x:f t="array" ref="E24">LOOKUP(1,0/((WHSU6439229!V:V=$H$5)*(WHSU6439229!A:A=A24)),WHSU6439229!J:J)</x:f>
        <x:v>#N/A</x:v>
      </x:c>
      <x:c r="F24" s="581" t="e" cm="1">
        <x:f t="array" ref="F24">LOOKUP(1,0/((WHSU6439229!V:V=$H$5)*(WHSU6439229!A:A=A24)),WHSU6439229!Z:Z)</x:f>
        <x:v>#N/A</x:v>
      </x:c>
      <x:c r="G24" s="581" t="e">
        <x:f>F24*D24</x:f>
        <x:v>#N/A</x:v>
      </x:c>
      <x:c r="H24" s="727"/>
    </x:row>
    <x:row r="25" ht="41" customHeight="1">
      <x:c r="A25" s="407">
        <x:v>2</x:v>
      </x:c>
      <x:c r="B25" s="621" t="e" cm="1">
        <x:f t="array" ref="B25">LOOKUP(1,0/((WHSU6439229!V:V=$H$5)*(WHSU6439229!A:A=A25)),WHSU6439229!D:D)</x:f>
        <x:v>#N/A</x:v>
      </x:c>
      <x:c r="C25" s="621" t="e" cm="1">
        <x:f t="array" ref="C25">LOOKUP(1,0/((WHSU6439229!V:V=$H$5)*(WHSU6439229!A:A=A25)),WHSU6439229!G:G&amp;WHSU6439229!F:F)</x:f>
        <x:v>#N/A</x:v>
      </x:c>
      <x:c r="D25" s="621" t="e" cm="1">
        <x:f t="array" ref="D25">LOOKUP(1,0/((WHSU6439229!V:V=$H$5)*(WHSU6439229!A:A=A25)),WHSU6439229!K:K)</x:f>
        <x:v>#N/A</x:v>
      </x:c>
      <x:c r="E25" s="578" t="e" cm="1">
        <x:f t="array" ref="E25">LOOKUP(1,0/((WHSU6439229!V:V=$H$5)*(WHSU6439229!A:A=A25)),WHSU6439229!J:J)</x:f>
        <x:v>#N/A</x:v>
      </x:c>
      <x:c r="F25" s="581" t="e" cm="1">
        <x:f t="array" ref="F25">LOOKUP(1,0/((WHSU6439229!V:V=$H$5)*(WHSU6439229!A:A=A25)),WHSU6439229!Z:Z)</x:f>
        <x:v>#N/A</x:v>
      </x:c>
      <x:c r="G25" s="581" t="e">
        <x:f t="shared" ref="G25:G38" si="0">F25*D25</x:f>
        <x:v>#N/A</x:v>
      </x:c>
      <x:c r="H25" s="727"/>
    </x:row>
    <x:row r="26" ht="41" customHeight="1">
      <x:c r="A26" s="407">
        <x:v>3</x:v>
      </x:c>
      <x:c r="B26" s="621" t="e" cm="1">
        <x:f t="array" ref="B26">LOOKUP(1,0/((WHSU6439229!V:V=$H$5)*(WHSU6439229!A:A=A26)),WHSU6439229!D:D)</x:f>
        <x:v>#N/A</x:v>
      </x:c>
      <x:c r="C26" s="621" t="e" cm="1">
        <x:f t="array" ref="C26">LOOKUP(1,0/((WHSU6439229!V:V=$H$5)*(WHSU6439229!A:A=A26)),WHSU6439229!G:G&amp;WHSU6439229!F:F)</x:f>
        <x:v>#N/A</x:v>
      </x:c>
      <x:c r="D26" s="621" t="e" cm="1">
        <x:f t="array" ref="D26">LOOKUP(1,0/((WHSU6439229!V:V=$H$5)*(WHSU6439229!A:A=A26)),WHSU6439229!K:K)</x:f>
        <x:v>#N/A</x:v>
      </x:c>
      <x:c r="E26" s="578" t="e" cm="1">
        <x:f t="array" ref="E26">LOOKUP(1,0/((WHSU6439229!V:V=$H$5)*(WHSU6439229!A:A=A26)),WHSU6439229!J:J)</x:f>
        <x:v>#N/A</x:v>
      </x:c>
      <x:c r="F26" s="581" t="e" cm="1">
        <x:f t="array" ref="F26">LOOKUP(1,0/((WHSU6439229!V:V=$H$5)*(WHSU6439229!A:A=A26)),WHSU6439229!Z:Z)</x:f>
        <x:v>#N/A</x:v>
      </x:c>
      <x:c r="G26" s="581">
        <x:f t="shared" si="0"/>
        <x:v>7145.83</x:v>
      </x:c>
      <x:c r="H26" s="727"/>
    </x:row>
    <x:row r="27" ht="41" customHeight="1">
      <x:c r="A27" s="407">
        <x:v>4</x:v>
      </x:c>
      <x:c r="B27" s="621" t="e" cm="1">
        <x:f t="array" ref="B27">LOOKUP(1,0/((WHSU6439229!V:V=$H$5)*(WHSU6439229!A:A=A27)),WHSU6439229!D:D)</x:f>
        <x:v>#N/A</x:v>
      </x:c>
      <x:c r="C27" s="621" t="e" cm="1">
        <x:f t="array" ref="C27">LOOKUP(1,0/((WHSU6439229!V:V=$H$5)*(WHSU6439229!A:A=A27)),WHSU6439229!G:G&amp;WHSU6439229!F:F)</x:f>
        <x:v>#N/A</x:v>
      </x:c>
      <x:c r="D27" s="621" t="e" cm="1">
        <x:f t="array" ref="D27">LOOKUP(1,0/((WHSU6439229!V:V=$H$5)*(WHSU6439229!A:A=A27)),WHSU6439229!K:K)</x:f>
        <x:v>#N/A</x:v>
      </x:c>
      <x:c r="E27" s="578" t="e" cm="1">
        <x:f t="array" ref="E27">LOOKUP(1,0/((WHSU6439229!V:V=$H$5)*(WHSU6439229!A:A=A27)),WHSU6439229!J:J)</x:f>
        <x:v>#N/A</x:v>
      </x:c>
      <x:c r="F27" s="581" t="e" cm="1">
        <x:f t="array" ref="F27">LOOKUP(1,0/((WHSU6439229!V:V=$H$5)*(WHSU6439229!A:A=A27)),WHSU6439229!Z:Z)</x:f>
        <x:v>#N/A</x:v>
      </x:c>
      <x:c r="G27" s="581">
        <x:f t="shared" si="0"/>
        <x:v>7291.66</x:v>
      </x:c>
      <x:c r="H27" s="727"/>
    </x:row>
    <x:row r="28" ht="41" customHeight="1">
      <x:c r="A28" s="407">
        <x:v>5</x:v>
      </x:c>
      <x:c r="B28" s="621" t="e" cm="1">
        <x:f t="array" ref="B28">LOOKUP(1,0/((WHSU6439229!V:V=$H$5)*(WHSU6439229!A:A=A28)),WHSU6439229!D:D)</x:f>
        <x:v>#N/A</x:v>
      </x:c>
      <x:c r="C28" s="621" t="e" cm="1">
        <x:f t="array" ref="C28">LOOKUP(1,0/((WHSU6439229!V:V=$H$5)*(WHSU6439229!A:A=A28)),WHSU6439229!G:G&amp;WHSU6439229!F:F)</x:f>
        <x:v>#N/A</x:v>
      </x:c>
      <x:c r="D28" s="621" t="e" cm="1">
        <x:f t="array" ref="D28">LOOKUP(1,0/((WHSU6439229!V:V=$H$5)*(WHSU6439229!A:A=A28)),WHSU6439229!K:K)</x:f>
        <x:v>#N/A</x:v>
      </x:c>
      <x:c r="E28" s="578" t="e" cm="1">
        <x:f t="array" ref="E28">LOOKUP(1,0/((WHSU6439229!V:V=$H$5)*(WHSU6439229!A:A=A28)),WHSU6439229!J:J)</x:f>
        <x:v>#N/A</x:v>
      </x:c>
      <x:c r="F28" s="581" t="e" cm="1">
        <x:f t="array" ref="F28">LOOKUP(1,0/((WHSU6439229!V:V=$H$5)*(WHSU6439229!A:A=A28)),WHSU6439229!Z:Z)</x:f>
        <x:v>#N/A</x:v>
      </x:c>
      <x:c r="G28" s="581">
        <x:f t="shared" si="0"/>
        <x:v>5979.16</x:v>
      </x:c>
      <x:c r="H28" s="727"/>
    </x:row>
    <x:row r="29" ht="41" customHeight="1">
      <x:c r="A29" s="407">
        <x:v>6</x:v>
      </x:c>
      <x:c r="B29" s="621" t="e" cm="1">
        <x:f t="array" ref="B29">LOOKUP(1,0/((WHSU6439229!V:V=$H$5)*(WHSU6439229!A:A=A29)),WHSU6439229!D:D)</x:f>
        <x:v>#N/A</x:v>
      </x:c>
      <x:c r="C29" s="621" t="e" cm="1">
        <x:f t="array" ref="C29">LOOKUP(1,0/((WHSU6439229!V:V=$H$5)*(WHSU6439229!A:A=A29)),WHSU6439229!G:G&amp;WHSU6439229!F:F)</x:f>
        <x:v>#N/A</x:v>
      </x:c>
      <x:c r="D29" s="621" t="e" cm="1">
        <x:f t="array" ref="D29">LOOKUP(1,0/((WHSU6439229!V:V=$H$5)*(WHSU6439229!A:A=A29)),WHSU6439229!K:K)</x:f>
        <x:v>#N/A</x:v>
      </x:c>
      <x:c r="E29" s="578" t="e" cm="1">
        <x:f t="array" ref="E29">LOOKUP(1,0/((WHSU6439229!V:V=$H$5)*(WHSU6439229!A:A=A29)),WHSU6439229!J:J)</x:f>
        <x:v>#N/A</x:v>
      </x:c>
      <x:c r="F29" s="581" t="e" cm="1">
        <x:f t="array" ref="F29">LOOKUP(1,0/((WHSU6439229!V:V=$H$5)*(WHSU6439229!A:A=A29)),WHSU6439229!Z:Z)</x:f>
        <x:v>#N/A</x:v>
      </x:c>
      <x:c r="G29" s="581">
        <x:f t="shared" si="0"/>
        <x:v>6854.17</x:v>
      </x:c>
      <x:c r="H29" s="727"/>
    </x:row>
    <x:row r="30" ht="41" customHeight="1">
      <x:c r="A30" s="407">
        <x:v>7</x:v>
      </x:c>
      <x:c r="B30" s="621" t="e" cm="1">
        <x:f t="array" ref="B30">LOOKUP(1,0/((WHSU6439229!V:V=$H$5)*(WHSU6439229!A:A=A30)),WHSU6439229!D:D)</x:f>
        <x:v>#N/A</x:v>
      </x:c>
      <x:c r="C30" s="621" t="e" cm="1">
        <x:f t="array" ref="C30">LOOKUP(1,0/((WHSU6439229!V:V=$H$5)*(WHSU6439229!A:A=A30)),WHSU6439229!G:G&amp;WHSU6439229!F:F)</x:f>
        <x:v>#N/A</x:v>
      </x:c>
      <x:c r="D30" s="621" t="e" cm="1">
        <x:f t="array" ref="D30">LOOKUP(1,0/((WHSU6439229!V:V=$H$5)*(WHSU6439229!A:A=A30)),WHSU6439229!K:K)</x:f>
        <x:v>#N/A</x:v>
      </x:c>
      <x:c r="E30" s="578" t="e" cm="1">
        <x:f t="array" ref="E30">LOOKUP(1,0/((WHSU6439229!V:V=$H$5)*(WHSU6439229!A:A=A30)),WHSU6439229!J:J)</x:f>
        <x:v>#N/A</x:v>
      </x:c>
      <x:c r="F30" s="581" t="e" cm="1">
        <x:f t="array" ref="F30">LOOKUP(1,0/((WHSU6439229!V:V=$H$5)*(WHSU6439229!A:A=A30)),WHSU6439229!Z:Z)</x:f>
        <x:v>#N/A</x:v>
      </x:c>
      <x:c r="G30" s="581">
        <x:f t="shared" si="0"/>
        <x:v>4156.25</x:v>
      </x:c>
      <x:c r="H30" s="727"/>
    </x:row>
    <x:row r="31" ht="41" customHeight="1">
      <x:c r="A31" s="407">
        <x:v>8</x:v>
      </x:c>
      <x:c r="B31" s="621" t="e" cm="1">
        <x:f t="array" ref="B31">LOOKUP(1,0/((WHSU6439229!V:V=$H$5)*(WHSU6439229!A:A=A31)),WHSU6439229!D:D)</x:f>
        <x:v>#N/A</x:v>
      </x:c>
      <x:c r="C31" s="621" t="e" cm="1">
        <x:f t="array" ref="C31">LOOKUP(1,0/((WHSU6439229!V:V=$H$5)*(WHSU6439229!A:A=A31)),WHSU6439229!G:G&amp;WHSU6439229!F:F)</x:f>
        <x:v>#N/A</x:v>
      </x:c>
      <x:c r="D31" s="621" t="e" cm="1">
        <x:f t="array" ref="D31">LOOKUP(1,0/((WHSU6439229!V:V=$H$5)*(WHSU6439229!A:A=A31)),WHSU6439229!K:K)</x:f>
        <x:v>#N/A</x:v>
      </x:c>
      <x:c r="E31" s="578" t="e" cm="1">
        <x:f t="array" ref="E31">LOOKUP(1,0/((WHSU6439229!V:V=$H$5)*(WHSU6439229!A:A=A31)),WHSU6439229!J:J)</x:f>
        <x:v>#N/A</x:v>
      </x:c>
      <x:c r="F31" s="581" t="e" cm="1">
        <x:f t="array" ref="F31">LOOKUP(1,0/((WHSU6439229!V:V=$H$5)*(WHSU6439229!A:A=A31)),WHSU6439229!Z:Z)</x:f>
        <x:v>#N/A</x:v>
      </x:c>
      <x:c r="G31" s="581">
        <x:f t="shared" si="0"/>
        <x:v>6562.5</x:v>
      </x:c>
      <x:c r="H31" s="727"/>
    </x:row>
    <x:row r="32" ht="41" customHeight="1">
      <x:c r="A32" s="407">
        <x:v>9</x:v>
      </x:c>
      <x:c r="B32" s="621" t="e" cm="1">
        <x:f t="array" ref="B32">LOOKUP(1,0/((WHSU6439229!V:V=$H$5)*(WHSU6439229!A:A=A32)),WHSU6439229!D:D)</x:f>
        <x:v>#N/A</x:v>
      </x:c>
      <x:c r="C32" s="621" t="e" cm="1">
        <x:f t="array" ref="C32">LOOKUP(1,0/((WHSU6439229!V:V=$H$5)*(WHSU6439229!A:A=A32)),WHSU6439229!G:G&amp;WHSU6439229!F:F)</x:f>
        <x:v>#N/A</x:v>
      </x:c>
      <x:c r="D32" s="621" t="e" cm="1">
        <x:f t="array" ref="D32">LOOKUP(1,0/((WHSU6439229!V:V=$H$5)*(WHSU6439229!A:A=A32)),WHSU6439229!K:K)</x:f>
        <x:v>#N/A</x:v>
      </x:c>
      <x:c r="E32" s="578" t="e" cm="1">
        <x:f t="array" ref="E32">LOOKUP(1,0/((WHSU6439229!V:V=$H$5)*(WHSU6439229!A:A=A32)),WHSU6439229!J:J)</x:f>
        <x:v>#N/A</x:v>
      </x:c>
      <x:c r="F32" s="581" t="e" cm="1">
        <x:f t="array" ref="F32">LOOKUP(1,0/((WHSU6439229!V:V=$H$5)*(WHSU6439229!A:A=A32)),WHSU6439229!Z:Z)</x:f>
        <x:v>#N/A</x:v>
      </x:c>
      <x:c r="G32" s="581">
        <x:f t="shared" si="0"/>
        <x:v>8531.25</x:v>
      </x:c>
      <x:c r="H32" s="727"/>
    </x:row>
    <x:row r="33" ht="41" customHeight="1">
      <x:c r="A33" s="407">
        <x:v>10</x:v>
      </x:c>
      <x:c r="B33" s="621" t="e" cm="1">
        <x:f t="array" ref="B33">LOOKUP(1,0/((WHSU6439229!V:V=$H$5)*(WHSU6439229!A:A=A33)),WHSU6439229!D:D)</x:f>
        <x:v>#N/A</x:v>
      </x:c>
      <x:c r="C33" s="621" t="e" cm="1">
        <x:f t="array" ref="C33">LOOKUP(1,0/((WHSU6439229!V:V=$H$5)*(WHSU6439229!A:A=A33)),WHSU6439229!G:G&amp;WHSU6439229!F:F)</x:f>
        <x:v>#N/A</x:v>
      </x:c>
      <x:c r="D33" s="621" t="e" cm="1">
        <x:f t="array" ref="D33">LOOKUP(1,0/((WHSU6439229!V:V=$H$5)*(WHSU6439229!A:A=A33)),WHSU6439229!K:K)</x:f>
        <x:v>#N/A</x:v>
      </x:c>
      <x:c r="E33" s="578" t="e" cm="1">
        <x:f t="array" ref="E33">LOOKUP(1,0/((WHSU6439229!V:V=$H$5)*(WHSU6439229!A:A=A33)),WHSU6439229!J:J)</x:f>
        <x:v>#N/A</x:v>
      </x:c>
      <x:c r="F33" s="581" t="e" cm="1">
        <x:f t="array" ref="F33">LOOKUP(1,0/((WHSU6439229!V:V=$H$5)*(WHSU6439229!A:A=A33)),WHSU6439229!Z:Z)</x:f>
        <x:v>#N/A</x:v>
      </x:c>
      <x:c r="G33" s="581">
        <x:f t="shared" si="0"/>
        <x:v>6234.38</x:v>
      </x:c>
      <x:c r="H33" s="727"/>
    </x:row>
    <x:row r="34" ht="41" customHeight="1">
      <x:c r="A34" s="407">
        <x:v>11</x:v>
      </x:c>
      <x:c r="B34" s="621" t="e" cm="1">
        <x:f t="array" ref="B34">LOOKUP(1,0/((WHSU6439229!V:V=$H$5)*(WHSU6439229!A:A=A34)),WHSU6439229!D:D)</x:f>
        <x:v>#N/A</x:v>
      </x:c>
      <x:c r="C34" s="621" t="e" cm="1">
        <x:f t="array" ref="C34">LOOKUP(1,0/((WHSU6439229!V:V=$H$5)*(WHSU6439229!A:A=A34)),WHSU6439229!G:G&amp;WHSU6439229!F:F)</x:f>
        <x:v>#N/A</x:v>
      </x:c>
      <x:c r="D34" s="621" t="e" cm="1">
        <x:f t="array" ref="D34">LOOKUP(1,0/((WHSU6439229!V:V=$H$5)*(WHSU6439229!A:A=A34)),WHSU6439229!K:K)</x:f>
        <x:v>#N/A</x:v>
      </x:c>
      <x:c r="E34" s="578" t="e" cm="1">
        <x:f t="array" ref="E34">LOOKUP(1,0/((WHSU6439229!V:V=$H$5)*(WHSU6439229!A:A=A34)),WHSU6439229!J:J)</x:f>
        <x:v>#N/A</x:v>
      </x:c>
      <x:c r="F34" s="581" t="e" cm="1">
        <x:f t="array" ref="F34">LOOKUP(1,0/((WHSU6439229!V:V=$H$5)*(WHSU6439229!A:A=A34)),WHSU6439229!Z:Z)</x:f>
        <x:v>#N/A</x:v>
      </x:c>
      <x:c r="G34" s="581">
        <x:f t="shared" si="0"/>
        <x:v>4958.33</x:v>
      </x:c>
      <x:c r="H34" s="727"/>
    </x:row>
    <x:row r="35" ht="41" customHeight="1">
      <x:c r="A35" s="407">
        <x:v>12</x:v>
      </x:c>
      <x:c r="B35" s="621" t="e" cm="1">
        <x:f t="array" ref="B35">LOOKUP(1,0/((WHSU6439229!V:V=$H$5)*(WHSU6439229!A:A=A35)),WHSU6439229!D:D)</x:f>
        <x:v>#N/A</x:v>
      </x:c>
      <x:c r="C35" s="621" t="e" cm="1">
        <x:f t="array" ref="C35">LOOKUP(1,0/((WHSU6439229!V:V=$H$5)*(WHSU6439229!A:A=A35)),WHSU6439229!G:G&amp;WHSU6439229!F:F)</x:f>
        <x:v>#N/A</x:v>
      </x:c>
      <x:c r="D35" s="621" t="e" cm="1">
        <x:f t="array" ref="D35">LOOKUP(1,0/((WHSU6439229!V:V=$H$5)*(WHSU6439229!A:A=A35)),WHSU6439229!K:K)</x:f>
        <x:v>#N/A</x:v>
      </x:c>
      <x:c r="E35" s="578" t="e" cm="1">
        <x:f t="array" ref="E35">LOOKUP(1,0/((WHSU6439229!V:V=$H$5)*(WHSU6439229!A:A=A35)),WHSU6439229!J:J)</x:f>
        <x:v>#N/A</x:v>
      </x:c>
      <x:c r="F35" s="581" t="e" cm="1">
        <x:f t="array" ref="F35">LOOKUP(1,0/((WHSU6439229!V:V=$H$5)*(WHSU6439229!A:A=A35)),WHSU6439229!Z:Z)</x:f>
        <x:v>#N/A</x:v>
      </x:c>
      <x:c r="G35" s="581">
        <x:f t="shared" si="0"/>
        <x:v>6662.93</x:v>
      </x:c>
      <x:c r="H35" s="727"/>
    </x:row>
    <x:row r="36" ht="41" customHeight="1">
      <x:c r="A36" s="407">
        <x:v>13</x:v>
      </x:c>
      <x:c r="B36" s="621" t="e" cm="1">
        <x:f t="array" ref="B36">LOOKUP(1,0/((WHSU6439229!V:V=$H$5)*(WHSU6439229!A:A=A36)),WHSU6439229!D:D)</x:f>
        <x:v>#N/A</x:v>
      </x:c>
      <x:c r="C36" s="621" t="e" cm="1">
        <x:f t="array" ref="C36">LOOKUP(1,0/((WHSU6439229!V:V=$H$5)*(WHSU6439229!A:A=A36)),WHSU6439229!G:G&amp;WHSU6439229!F:F)</x:f>
        <x:v>#N/A</x:v>
      </x:c>
      <x:c r="D36" s="621" t="e" cm="1">
        <x:f t="array" ref="D36">LOOKUP(1,0/((WHSU6439229!V:V=$H$5)*(WHSU6439229!A:A=A36)),WHSU6439229!K:K)</x:f>
        <x:v>#N/A</x:v>
      </x:c>
      <x:c r="E36" s="578" t="e" cm="1">
        <x:f t="array" ref="E36">LOOKUP(1,0/((WHSU6439229!V:V=$H$5)*(WHSU6439229!A:A=A36)),WHSU6439229!J:J)</x:f>
        <x:v>#N/A</x:v>
      </x:c>
      <x:c r="F36" s="581" t="e" cm="1">
        <x:f t="array" ref="F36">LOOKUP(1,0/((WHSU6439229!V:V=$H$5)*(WHSU6439229!A:A=A36)),WHSU6439229!Z:Z)</x:f>
        <x:v>#N/A</x:v>
      </x:c>
      <x:c r="G36" s="581">
        <x:f t="shared" si="0"/>
        <x:v>6234.37</x:v>
      </x:c>
      <x:c r="H36" s="727"/>
    </x:row>
    <x:row r="37" ht="41" customHeight="1">
      <x:c r="A37" s="407">
        <x:v>14</x:v>
      </x:c>
      <x:c r="B37" s="621" t="e" cm="1">
        <x:f t="array" ref="B37">LOOKUP(1,0/((WHSU6439229!V:V=$H$5)*(WHSU6439229!A:A=A37)),WHSU6439229!D:D)</x:f>
        <x:v>#N/A</x:v>
      </x:c>
      <x:c r="C37" s="621" t="e" cm="1">
        <x:f t="array" ref="C37">LOOKUP(1,0/((WHSU6439229!V:V=$H$5)*(WHSU6439229!A:A=A37)),WHSU6439229!G:G&amp;WHSU6439229!F:F)</x:f>
        <x:v>#N/A</x:v>
      </x:c>
      <x:c r="D37" s="621" t="e" cm="1">
        <x:f t="array" ref="D37">LOOKUP(1,0/((WHSU6439229!V:V=$H$5)*(WHSU6439229!A:A=A37)),WHSU6439229!K:K)</x:f>
        <x:v>#N/A</x:v>
      </x:c>
      <x:c r="E37" s="578" t="e" cm="1">
        <x:f t="array" ref="E37">LOOKUP(1,0/((WHSU6439229!V:V=$H$5)*(WHSU6439229!A:A=A37)),WHSU6439229!J:J)</x:f>
        <x:v>#N/A</x:v>
      </x:c>
      <x:c r="F37" s="581" t="e" cm="1">
        <x:f t="array" ref="F37">LOOKUP(1,0/((WHSU6439229!V:V=$H$5)*(WHSU6439229!A:A=A37)),WHSU6439229!Z:Z)</x:f>
        <x:v>#N/A</x:v>
      </x:c>
      <x:c r="G37" s="581">
        <x:f t="shared" si="0"/>
        <x:v>6234.37</x:v>
      </x:c>
      <x:c r="H37" s="727"/>
    </x:row>
    <x:row r="38" ht="41" customHeight="1">
      <x:c r="A38" s="407">
        <x:v>15</x:v>
      </x:c>
      <x:c r="B38" s="621" t="e" cm="1">
        <x:f t="array" ref="B38">LOOKUP(1,0/((WHSU6439229!V:V=$H$5)*(WHSU6439229!A:A=A38)),WHSU6439229!D:D)</x:f>
        <x:v>#N/A</x:v>
      </x:c>
      <x:c r="C38" s="621" t="e" cm="1">
        <x:f t="array" ref="C38">LOOKUP(1,0/((WHSU6439229!V:V=$H$5)*(WHSU6439229!A:A=A38)),WHSU6439229!G:G&amp;WHSU6439229!F:F)</x:f>
        <x:v>#N/A</x:v>
      </x:c>
      <x:c r="D38" s="621" t="e" cm="1">
        <x:f t="array" ref="D38">LOOKUP(1,0/((WHSU6439229!V:V=$H$5)*(WHSU6439229!A:A=A38)),WHSU6439229!K:K)</x:f>
        <x:v>#N/A</x:v>
      </x:c>
      <x:c r="E38" s="578" t="e" cm="1">
        <x:f t="array" ref="E38">LOOKUP(1,0/((WHSU6439229!V:V=$H$5)*(WHSU6439229!A:A=A38)),WHSU6439229!J:J)</x:f>
        <x:v>#N/A</x:v>
      </x:c>
      <x:c r="F38" s="581" t="e" cm="1">
        <x:f t="array" ref="F38">LOOKUP(1,0/((WHSU6439229!V:V=$H$5)*(WHSU6439229!A:A=A38)),WHSU6439229!Z:Z)</x:f>
        <x:v>#N/A</x:v>
      </x:c>
      <x:c r="G38" s="581">
        <x:f t="shared" si="0"/>
        <x:v>6234.37</x:v>
      </x:c>
      <x:c r="H38" s="727"/>
    </x:row>
    <x:row r="39" ht="41" customHeight="1">
      <x:c r="A39" s="407"/>
      <x:c r="B39" s="621"/>
      <x:c r="C39" s="621"/>
      <x:c r="D39" s="621"/>
      <x:c r="E39" s="578"/>
      <x:c r="F39" s="581"/>
      <x:c r="G39" s="581"/>
      <x:c r="H39" s="727"/>
    </x:row>
    <x:row r="40" ht="41" customHeight="1">
      <x:c r="A40" s="407"/>
      <x:c r="B40" s="621"/>
      <x:c r="C40" s="621"/>
      <x:c r="D40" s="621"/>
      <x:c r="E40" s="578"/>
      <x:c r="F40" s="581"/>
      <x:c r="G40" s="581"/>
      <x:c r="H40" s="727"/>
    </x:row>
    <x:row r="41" ht="30" customHeight="1">
      <x:c r="B41" s="622"/>
      <x:c r="C41" s="623"/>
      <x:c r="D41" s="624"/>
      <x:c r="E41" s="623"/>
      <x:c r="F41" s="728"/>
      <x:c r="G41" s="729" t="e">
        <x:f>SUM(G24:G40)</x:f>
        <x:v>#N/A</x:v>
      </x:c>
      <x:c r="H41" s="623"/>
    </x:row>
    <x:row r="42" ht="14" customHeight="1">
      <x:c r="B42" s="596"/>
      <x:c r="C42" s="615"/>
      <x:c r="D42" s="597"/>
      <x:c r="E42" s="615"/>
      <x:c r="F42" s="626"/>
      <x:c r="G42" s="627"/>
      <x:c r="H42" s="615"/>
    </x:row>
    <x:row r="43" ht="16.5">
      <x:c r="B43" s="628" t="s">
        <x:v>105</x:v>
      </x:c>
      <x:c r="C43" s="629" t="s">
        <x:v>106</x:v>
      </x:c>
      <x:c r="D43" s="631"/>
      <x:c r="E43" s="631"/>
      <x:c r="F43" s="631"/>
      <x:c r="G43" s="632"/>
      <x:c r="H43" s="597"/>
    </x:row>
    <x:row r="44" ht="16.5">
      <x:c r="B44" s="633" t="s">
        <x:v>107</x:v>
      </x:c>
      <x:c r="C44" s="636" t="s">
        <x:v>104</x:v>
      </x:c>
      <x:c r="D44" s="636"/>
      <x:c r="E44" s="635"/>
      <x:c r="F44" s="635"/>
      <x:c r="G44" s="635"/>
      <x:c r="H44" s="615"/>
    </x:row>
    <x:row r="45" ht="16.5">
      <x:c r="B45" s="628" t="s">
        <x:v>108</x:v>
      </x:c>
      <x:c r="C45" s="636" t="s">
        <x:v>109</x:v>
      </x:c>
      <x:c r="D45" s="636"/>
      <x:c r="E45" s="636"/>
      <x:c r="F45" s="637"/>
      <x:c r="G45" s="637"/>
      <x:c r="H45" s="638"/>
    </x:row>
    <x:row r="46" ht="33">
      <x:c r="B46" s="633" t="s">
        <x:v>110</x:v>
      </x:c>
      <x:c r="C46" s="634" t="s">
        <x:v>111</x:v>
      </x:c>
      <x:c r="D46" s="637"/>
      <x:c r="E46" s="640" t="s">
        <x:v>112</x:v>
      </x:c>
      <x:c r="F46" s="640"/>
      <x:c r="G46" s="641" t="s">
        <x:v>113</x:v>
      </x:c>
      <x:c r="H46" s="638"/>
    </x:row>
    <x:row r="47" ht="33">
      <x:c r="B47" s="642" t="s">
        <x:v>114</x:v>
      </x:c>
      <x:c r="C47" s="636" t="s">
        <x:v>115</x:v>
      </x:c>
      <x:c r="D47" s="637"/>
      <x:c r="E47" s="637"/>
      <x:c r="F47" s="637"/>
      <x:c r="G47" s="637"/>
      <x:c r="H47" s="638"/>
    </x:row>
    <x:row r="48" ht="16.5">
      <x:c r="B48" s="637" t="s">
        <x:v>116</x:v>
      </x:c>
      <x:c r="C48" s="637"/>
      <x:c r="D48" s="637"/>
      <x:c r="E48" s="637"/>
      <x:c r="F48" s="637"/>
      <x:c r="G48" s="637"/>
      <x:c r="H48" s="638"/>
    </x:row>
    <x:row r="49" ht="16.5">
      <x:c r="B49" s="637" t="s">
        <x:v>117</x:v>
      </x:c>
      <x:c r="C49" s="637"/>
      <x:c r="D49" s="637"/>
      <x:c r="E49" s="637"/>
      <x:c r="F49" s="637"/>
      <x:c r="G49" s="637"/>
      <x:c r="H49" s="638"/>
    </x:row>
    <x:row r="50" ht="2" customHeight="1">
      <x:c r="B50" s="643"/>
      <x:c r="C50" s="643"/>
      <x:c r="D50" s="643"/>
      <x:c r="E50" s="643"/>
      <x:c r="F50" s="643"/>
      <x:c r="G50" s="643"/>
      <x:c r="H50" s="643"/>
    </x:row>
    <x:row r="51" ht="31.5">
      <x:c r="B51" s="644" t="s">
        <x:v>118</x:v>
      </x:c>
      <x:c r="C51" s="730" t="s">
        <x:v>119</x:v>
      </x:c>
      <x:c r="D51" s="646" t="s">
        <x:v>120</x:v>
      </x:c>
      <x:c r="E51" s="647" t="s">
        <x:v>121</x:v>
      </x:c>
      <x:c r="F51" s="648"/>
      <x:c r="G51" s="648"/>
      <x:c r="H51" s="648"/>
    </x:row>
    <x:row r="52" ht="28.5">
      <x:c r="B52" s="644" t="s">
        <x:v>122</x:v>
      </x:c>
      <x:c r="C52" s="649"/>
      <x:c r="D52" s="650" t="s">
        <x:v>123</x:v>
      </x:c>
      <x:c r="E52" s="650"/>
      <x:c r="F52" s="651"/>
      <x:c r="G52" s="652"/>
      <x:c r="H52" s="652"/>
    </x:row>
    <x:row r="53" ht="15.75">
      <x:c r="B53" s="644"/>
      <x:c r="C53" s="649"/>
      <x:c r="D53" s="650"/>
      <x:c r="E53" s="650"/>
      <x:c r="F53" s="651"/>
      <x:c r="G53" s="652"/>
      <x:c r="H53" s="652"/>
    </x:row>
    <x:row r="54"/>
    <x:row r="55" ht="30">
      <x:c r="B55" s="721" t="s">
        <x:v>73</x:v>
      </x:c>
      <x:c r="C55" s="721"/>
      <x:c r="D55" s="721"/>
      <x:c r="E55" s="721"/>
      <x:c r="F55" s="721"/>
      <x:c r="G55" s="721"/>
      <x:c r="H55" s="721"/>
    </x:row>
    <x:row r="56" ht="18">
      <x:c r="B56" s="722" t="s">
        <x:v>74</x:v>
      </x:c>
      <x:c r="C56" s="722"/>
      <x:c r="D56" s="722"/>
      <x:c r="E56" s="722"/>
      <x:c r="F56" s="722"/>
      <x:c r="G56" s="722"/>
      <x:c r="H56" s="722"/>
    </x:row>
    <x:row r="57" ht="42" customHeight="1">
      <x:c r="B57" s="723" t="s">
        <x:v>75</x:v>
      </x:c>
      <x:c r="C57" s="723"/>
      <x:c r="D57" s="723"/>
      <x:c r="E57" s="723"/>
      <x:c r="F57" s="723"/>
      <x:c r="G57" s="723"/>
      <x:c r="H57" s="723"/>
    </x:row>
    <x:row r="58" ht="18">
      <x:c r="B58" s="731"/>
      <x:c r="C58" s="732"/>
      <x:c r="D58" s="732"/>
      <x:c r="E58" s="733"/>
      <x:c r="F58" s="734"/>
      <x:c r="G58" s="735"/>
      <x:c r="H58" s="547"/>
    </x:row>
    <x:row r="59" ht="18.75">
      <x:c r="B59" s="736" t="s">
        <x:v>76</x:v>
      </x:c>
      <x:c r="C59" s="724" t="s">
        <x:v>73</x:v>
      </x:c>
      <x:c r="D59" s="724"/>
      <x:c r="E59" s="724"/>
      <x:c r="F59" s="725"/>
      <x:c r="G59" s="737" t="s">
        <x:v>77</x:v>
      </x:c>
      <x:c r="H59" s="670" t="s">
        <x:v>124</x:v>
      </x:c>
    </x:row>
    <x:row r="60" ht="18.75">
      <x:c r="B60" s="736"/>
      <x:c r="C60" s="724" t="s">
        <x:v>79</x:v>
      </x:c>
      <x:c r="D60" s="724"/>
      <x:c r="E60" s="724"/>
      <x:c r="F60" s="725"/>
      <x:c r="G60" s="737"/>
      <x:c r="H60" s="673"/>
    </x:row>
    <x:row r="61" ht="18.75">
      <x:c r="B61" s="738"/>
      <x:c r="C61" s="547" t="s">
        <x:v>80</x:v>
      </x:c>
      <x:c r="D61" s="726"/>
      <x:c r="E61" s="724"/>
      <x:c r="F61" s="725"/>
      <x:c r="G61" s="739"/>
      <x:c r="H61" s="740"/>
    </x:row>
    <x:row r="62" ht="18.75">
      <x:c r="B62" s="547"/>
      <x:c r="C62" s="544" t="s">
        <x:v>81</x:v>
      </x:c>
      <x:c r="D62" s="544"/>
      <x:c r="E62" s="544"/>
      <x:c r="F62" s="544"/>
      <x:c r="G62" s="741"/>
      <x:c r="H62" s="742"/>
    </x:row>
    <x:row r="63" ht="18.75">
      <x:c r="B63" s="725"/>
      <x:c r="C63" s="544"/>
      <x:c r="D63" s="544"/>
      <x:c r="E63" s="544"/>
      <x:c r="F63" s="544"/>
      <x:c r="G63" s="743" t="s">
        <x:v>82</x:v>
      </x:c>
      <x:c r="H63" s="744" t="n">
        <x:f>H9</x:f>
        <x:v>46203</x:v>
      </x:c>
    </x:row>
    <x:row r="64" ht="35" customHeight="1">
      <x:c r="B64" s="736"/>
      <x:c r="C64" s="544"/>
      <x:c r="D64" s="544"/>
      <x:c r="E64" s="544"/>
      <x:c r="F64" s="544"/>
      <x:c r="G64" s="743"/>
      <x:c r="H64" s="745"/>
    </x:row>
    <x:row r="65" ht="18.75">
      <x:c r="B65" s="680" t="s">
        <x:v>83</x:v>
      </x:c>
      <x:c r="C65" s="547" t="s">
        <x:v>125</x:v>
      </x:c>
      <x:c r="D65" s="547"/>
      <x:c r="E65" s="547"/>
      <x:c r="F65" s="725"/>
      <x:c r="G65" s="746"/>
      <x:c r="H65" s="740"/>
    </x:row>
    <x:row r="66" ht="18.75">
      <x:c r="B66" s="680"/>
      <x:c r="C66" s="668" t="s">
        <x:v>126</x:v>
      </x:c>
      <x:c r="D66" s="548"/>
      <x:c r="E66" s="548"/>
      <x:c r="F66" s="725"/>
      <x:c r="G66" s="746"/>
      <x:c r="H66" s="740"/>
    </x:row>
    <x:row r="67" ht="30" customHeight="1">
      <x:c r="B67" s="547" t="s">
        <x:v>86</x:v>
      </x:c>
      <x:c r="C67" s="541" t="s">
        <x:v>127</x:v>
      </x:c>
      <x:c r="D67" s="541"/>
      <x:c r="E67" s="541"/>
      <x:c r="F67" s="541"/>
      <x:c r="G67" s="743" t="s">
        <x:v>88</x:v>
      </x:c>
      <x:c r="H67" s="670" t="s">
        <x:v>128</x:v>
      </x:c>
    </x:row>
    <x:row r="68" ht="46" customHeight="1">
      <x:c r="B68" s="747"/>
      <x:c r="C68" s="541"/>
      <x:c r="D68" s="541"/>
      <x:c r="E68" s="541"/>
      <x:c r="F68" s="541"/>
      <x:c r="G68" s="743"/>
      <x:c r="H68" s="748"/>
    </x:row>
    <x:row r="69" ht="18">
      <x:c r="B69" s="715" t="s">
        <x:v>90</x:v>
      </x:c>
      <x:c r="C69" s="607" t="s">
        <x:v>91</x:v>
      </x:c>
      <x:c r="D69" s="547"/>
      <x:c r="E69" s="547"/>
      <x:c r="F69" s="608"/>
      <x:c r="G69" s="749"/>
      <x:c r="H69" s="733"/>
    </x:row>
    <x:row r="70" ht="40" customHeight="1">
      <x:c r="B70" s="715"/>
      <x:c r="C70" s="541" t="s">
        <x:v>92</x:v>
      </x:c>
      <x:c r="D70" s="541"/>
      <x:c r="E70" s="541"/>
      <x:c r="F70" s="541"/>
      <x:c r="G70" s="749"/>
      <x:c r="H70" s="733"/>
    </x:row>
    <x:row r="71" ht="18">
      <x:c r="B71" s="715"/>
      <x:c r="C71" s="546" t="s">
        <x:v>93</x:v>
      </x:c>
      <x:c r="D71" s="547"/>
      <x:c r="E71" s="547"/>
      <x:c r="F71" s="608"/>
      <x:c r="G71" s="749"/>
      <x:c r="H71" s="733"/>
    </x:row>
    <x:row r="72" ht="18">
      <x:c r="B72" s="715"/>
      <x:c r="C72" s="546" t="s">
        <x:v>94</x:v>
      </x:c>
      <x:c r="D72" s="547"/>
      <x:c r="E72" s="547"/>
      <x:c r="F72" s="608"/>
      <x:c r="G72" s="733"/>
      <x:c r="H72" s="733"/>
    </x:row>
    <x:row r="73" ht="15.75">
      <x:c r="B73" s="750" t="s">
        <x:v>95</x:v>
      </x:c>
      <x:c r="C73" s="751"/>
      <x:c r="D73" s="751"/>
      <x:c r="E73" s="751"/>
      <x:c r="F73" s="731"/>
      <x:c r="G73" s="733"/>
      <x:c r="H73" s="733"/>
    </x:row>
    <x:row r="74" ht="15">
      <x:c r="B74" s="752" t="s">
        <x:v>96</x:v>
      </x:c>
      <x:c r="C74" s="752"/>
      <x:c r="D74" s="752"/>
      <x:c r="E74" s="752"/>
      <x:c r="F74" s="752"/>
      <x:c r="G74" s="752"/>
      <x:c r="H74" s="752"/>
    </x:row>
    <x:row r="75" ht="6" customHeight="1">
      <x:c r="B75" s="753"/>
      <x:c r="C75" s="754"/>
      <x:c r="D75" s="755"/>
      <x:c r="E75" s="754"/>
      <x:c r="F75" s="754"/>
      <x:c r="G75" s="754"/>
      <x:c r="H75" s="733"/>
    </x:row>
    <x:row r="76" ht="36">
      <x:c r="B76" s="727" t="s">
        <x:v>97</x:v>
      </x:c>
      <x:c r="C76" s="727" t="s">
        <x:v>98</x:v>
      </x:c>
      <x:c r="D76" s="727" t="s">
        <x:v>99</x:v>
      </x:c>
      <x:c r="E76" s="756" t="s">
        <x:v>100</x:v>
      </x:c>
      <x:c r="F76" s="757" t="s">
        <x:v>101</x:v>
      </x:c>
      <x:c r="G76" s="727" t="s">
        <x:v>102</x:v>
      </x:c>
      <x:c r="H76" s="727" t="s">
        <x:v>103</x:v>
      </x:c>
    </x:row>
    <x:row r="77" ht="18">
      <x:c r="B77" s="727"/>
      <x:c r="C77" s="727"/>
      <x:c r="D77" s="727"/>
      <x:c r="E77" s="756"/>
      <x:c r="F77" s="758" t="s">
        <x:v>129</x:v>
      </x:c>
      <x:c r="G77" s="758"/>
      <x:c r="H77" s="727"/>
    </x:row>
    <x:row r="78" ht="51" customHeight="1">
      <x:c r="A78" s="407">
        <x:v>34</x:v>
      </x:c>
      <x:c r="B78" s="621" t="e" cm="1">
        <x:f t="array" ref="B78">LOOKUP(1,0/((WHSU6439229!V:V=$H$59)*(WHSU6439229!A:A=A78)),WHSU6439229!D:D)</x:f>
        <x:v>#N/A</x:v>
      </x:c>
      <x:c r="C78" s="621" t="e" cm="1">
        <x:f t="array" ref="C78">LOOKUP(1,0/((WHSU6439229!V:V=$H$59)*(WHSU6439229!A:A=A78)),WHSU6439229!G:G&amp;WHSU6439229!F:F)</x:f>
        <x:v>#N/A</x:v>
      </x:c>
      <x:c r="D78" s="621" t="e" cm="1">
        <x:f t="array" ref="D78">LOOKUP(1,0/((WHSU6439229!V:V=$H$59)*(WHSU6439229!A:A=A78)),WHSU6439229!K:K)</x:f>
        <x:v>#N/A</x:v>
      </x:c>
      <x:c r="E78" s="578" t="e" cm="1">
        <x:f t="array" ref="E78">LOOKUP(1,0/((WHSU6439229!V:V=$H$59)*(WHSU6439229!A:A=A78)),WHSU6439229!J:J)</x:f>
        <x:v>#N/A</x:v>
      </x:c>
      <x:c r="F78" s="581" t="e" cm="1">
        <x:f t="array" ref="F78">LOOKUP(1,0/((WHSU6439229!V:V=$H$59)*(WHSU6439229!A:A=A78)),WHSU6439229!Z:Z)</x:f>
        <x:v>#N/A</x:v>
      </x:c>
      <x:c r="G78" s="581" t="e">
        <x:f>F78*D78</x:f>
        <x:v>#N/A</x:v>
      </x:c>
      <x:c r="H78" s="727"/>
    </x:row>
    <x:row r="79" ht="48" customHeight="1">
      <x:c r="A79" s="407"/>
      <x:c r="B79" s="621"/>
      <x:c r="C79" s="621"/>
      <x:c r="D79" s="621"/>
      <x:c r="E79" s="578"/>
      <x:c r="F79" s="581"/>
      <x:c r="G79" s="581"/>
      <x:c r="H79" s="727"/>
    </x:row>
    <x:row r="80" ht="48" customHeight="1">
      <x:c r="A80" s="407"/>
      <x:c r="B80" s="621"/>
      <x:c r="C80" s="621"/>
      <x:c r="D80" s="621"/>
      <x:c r="E80" s="578"/>
      <x:c r="F80" s="581"/>
      <x:c r="G80" s="581"/>
      <x:c r="H80" s="727"/>
    </x:row>
    <x:row r="81" ht="48" customHeight="1">
      <x:c r="A81" s="407"/>
      <x:c r="B81" s="621"/>
      <x:c r="C81" s="621"/>
      <x:c r="D81" s="621"/>
      <x:c r="E81" s="578"/>
      <x:c r="F81" s="581"/>
      <x:c r="G81" s="581"/>
      <x:c r="H81" s="727"/>
    </x:row>
    <x:row r="82" ht="48" customHeight="1">
      <x:c r="A82" s="407"/>
      <x:c r="B82" s="621"/>
      <x:c r="C82" s="621"/>
      <x:c r="D82" s="621"/>
      <x:c r="E82" s="578"/>
      <x:c r="F82" s="581"/>
      <x:c r="G82" s="581"/>
      <x:c r="H82" s="727"/>
    </x:row>
    <x:row r="83" ht="32" customHeight="1">
      <x:c r="B83" s="759"/>
      <x:c r="C83" s="760"/>
      <x:c r="D83" s="761"/>
      <x:c r="E83" s="760"/>
      <x:c r="F83" s="581"/>
      <x:c r="G83" s="762" t="e">
        <x:f>SUM(G78:G82)</x:f>
        <x:v>#N/A</x:v>
      </x:c>
      <x:c r="H83" s="760"/>
    </x:row>
    <x:row r="84" ht="4" customHeight="1">
      <x:c r="B84" s="732"/>
      <x:c r="C84" s="763"/>
      <x:c r="D84" s="733"/>
      <x:c r="E84" s="754"/>
      <x:c r="F84" s="764"/>
      <x:c r="G84" s="765"/>
      <x:c r="H84" s="754"/>
    </x:row>
    <x:row r="85" ht="16.5">
      <x:c r="B85" s="766" t="s">
        <x:v>105</x:v>
      </x:c>
      <x:c r="C85" s="629" t="s">
        <x:v>106</x:v>
      </x:c>
      <x:c r="D85" s="630"/>
      <x:c r="E85" s="630"/>
      <x:c r="F85" s="630"/>
      <x:c r="G85" s="767"/>
      <x:c r="H85" s="733"/>
    </x:row>
    <x:row r="86" ht="16.5">
      <x:c r="B86" s="768" t="s">
        <x:v>107</x:v>
      </x:c>
      <x:c r="C86" s="634" t="s">
        <x:v>129</x:v>
      </x:c>
      <x:c r="D86" s="634"/>
      <x:c r="E86" s="769"/>
      <x:c r="F86" s="769"/>
      <x:c r="G86" s="769"/>
      <x:c r="H86" s="763"/>
    </x:row>
    <x:row r="87" ht="16.5">
      <x:c r="B87" s="770" t="s">
        <x:v>108</x:v>
      </x:c>
      <x:c r="C87" s="634" t="s">
        <x:v>109</x:v>
      </x:c>
      <x:c r="D87" s="634"/>
      <x:c r="E87" s="634"/>
      <x:c r="F87" s="639"/>
      <x:c r="G87" s="639"/>
      <x:c r="H87" s="771"/>
    </x:row>
    <x:row r="88" ht="33">
      <x:c r="B88" s="768" t="s">
        <x:v>110</x:v>
      </x:c>
      <x:c r="C88" s="634" t="s">
        <x:v>111</x:v>
      </x:c>
      <x:c r="D88" s="639"/>
      <x:c r="E88" s="772" t="s">
        <x:v>112</x:v>
      </x:c>
      <x:c r="F88" s="772"/>
      <x:c r="G88" s="773" t="s">
        <x:v>113</x:v>
      </x:c>
      <x:c r="H88" s="771"/>
    </x:row>
    <x:row r="89" ht="33">
      <x:c r="B89" s="774" t="s">
        <x:v>114</x:v>
      </x:c>
      <x:c r="C89" s="634" t="s">
        <x:v>115</x:v>
      </x:c>
      <x:c r="D89" s="639"/>
      <x:c r="E89" s="639"/>
      <x:c r="F89" s="639"/>
      <x:c r="G89" s="639"/>
      <x:c r="H89" s="771"/>
    </x:row>
    <x:row r="90" ht="16.5">
      <x:c r="B90" s="639" t="s">
        <x:v>116</x:v>
      </x:c>
      <x:c r="C90" s="639"/>
      <x:c r="D90" s="639"/>
      <x:c r="E90" s="639"/>
      <x:c r="F90" s="639"/>
      <x:c r="G90" s="639"/>
      <x:c r="H90" s="771"/>
    </x:row>
    <x:row r="91" ht="16.5">
      <x:c r="B91" s="639" t="s">
        <x:v>117</x:v>
      </x:c>
      <x:c r="C91" s="639"/>
      <x:c r="D91" s="639"/>
      <x:c r="E91" s="639"/>
      <x:c r="F91" s="639"/>
      <x:c r="G91" s="639"/>
      <x:c r="H91" s="771"/>
    </x:row>
    <x:row r="92" ht="15.75">
      <x:c r="B92" s="775"/>
      <x:c r="C92" s="775"/>
      <x:c r="D92" s="775"/>
      <x:c r="E92" s="775"/>
      <x:c r="F92" s="775"/>
      <x:c r="G92" s="775"/>
      <x:c r="H92" s="775"/>
    </x:row>
    <x:row r="93" ht="31.5">
      <x:c r="B93" s="776" t="s">
        <x:v>118</x:v>
      </x:c>
      <x:c r="C93" s="730" t="s">
        <x:v>119</x:v>
      </x:c>
      <x:c r="D93" s="777" t="s">
        <x:v>120</x:v>
      </x:c>
      <x:c r="E93" s="778" t="s">
        <x:v>130</x:v>
      </x:c>
      <x:c r="F93" s="779"/>
      <x:c r="G93" s="779"/>
      <x:c r="H93" s="779"/>
    </x:row>
    <x:row r="94" ht="28.5">
      <x:c r="B94" s="776" t="s">
        <x:v>122</x:v>
      </x:c>
      <x:c r="C94" s="780"/>
      <x:c r="D94" s="781" t="s">
        <x:v>123</x:v>
      </x:c>
      <x:c r="E94" s="781"/>
      <x:c r="F94" s="782"/>
      <x:c r="G94" s="783"/>
      <x:c r="H94" s="783"/>
    </x:row>
    <x:row r="95"/>
    <x:row r="96" ht="15.75">
      <x:c r="B96" s="776"/>
      <x:c r="C96" s="780"/>
      <x:c r="D96" s="781"/>
      <x:c r="E96" s="781"/>
      <x:c r="F96" s="782"/>
      <x:c r="G96" s="783"/>
      <x:c r="H96" s="783"/>
    </x:row>
    <x:row r="97" ht="30">
      <x:c r="B97" s="721" t="s">
        <x:v>73</x:v>
      </x:c>
      <x:c r="C97" s="721"/>
      <x:c r="D97" s="721"/>
      <x:c r="E97" s="721"/>
      <x:c r="F97" s="721"/>
      <x:c r="G97" s="721"/>
      <x:c r="H97" s="721"/>
    </x:row>
    <x:row r="98" ht="18">
      <x:c r="B98" s="722" t="s">
        <x:v>74</x:v>
      </x:c>
      <x:c r="C98" s="722"/>
      <x:c r="D98" s="722"/>
      <x:c r="E98" s="722"/>
      <x:c r="F98" s="722"/>
      <x:c r="G98" s="722"/>
      <x:c r="H98" s="722"/>
    </x:row>
    <x:row r="99" ht="42" customHeight="1">
      <x:c r="B99" s="723" t="s">
        <x:v>75</x:v>
      </x:c>
      <x:c r="C99" s="723"/>
      <x:c r="D99" s="723"/>
      <x:c r="E99" s="723"/>
      <x:c r="F99" s="723"/>
      <x:c r="G99" s="723"/>
      <x:c r="H99" s="723"/>
    </x:row>
    <x:row r="100" ht="18">
      <x:c r="B100" s="731"/>
      <x:c r="C100" s="732"/>
      <x:c r="D100" s="732"/>
      <x:c r="E100" s="733"/>
      <x:c r="F100" s="734"/>
      <x:c r="G100" s="735"/>
      <x:c r="H100" s="547"/>
    </x:row>
    <x:row r="101" ht="18.75">
      <x:c r="B101" s="736" t="s">
        <x:v>76</x:v>
      </x:c>
      <x:c r="C101" s="724" t="s">
        <x:v>73</x:v>
      </x:c>
      <x:c r="D101" s="724"/>
      <x:c r="E101" s="724"/>
      <x:c r="F101" s="725"/>
      <x:c r="G101" s="737" t="s">
        <x:v>77</x:v>
      </x:c>
      <x:c r="H101" s="670" t="s">
        <x:v>131</x:v>
      </x:c>
    </x:row>
    <x:row r="102" ht="18.75">
      <x:c r="B102" s="736"/>
      <x:c r="C102" s="724" t="s">
        <x:v>79</x:v>
      </x:c>
      <x:c r="D102" s="724"/>
      <x:c r="E102" s="724"/>
      <x:c r="F102" s="725"/>
      <x:c r="G102" s="737"/>
      <x:c r="H102" s="673"/>
    </x:row>
    <x:row r="103" ht="18.75">
      <x:c r="B103" s="738"/>
      <x:c r="C103" s="547" t="s">
        <x:v>80</x:v>
      </x:c>
      <x:c r="D103" s="726"/>
      <x:c r="E103" s="724"/>
      <x:c r="F103" s="725"/>
      <x:c r="G103" s="739"/>
      <x:c r="H103" s="740"/>
    </x:row>
    <x:row r="104" ht="18.75">
      <x:c r="B104" s="547"/>
      <x:c r="C104" s="544" t="s">
        <x:v>81</x:v>
      </x:c>
      <x:c r="D104" s="544"/>
      <x:c r="E104" s="544"/>
      <x:c r="F104" s="544"/>
      <x:c r="G104" s="741"/>
      <x:c r="H104" s="742"/>
    </x:row>
    <x:row r="105" ht="18.75">
      <x:c r="B105" s="725"/>
      <x:c r="C105" s="544"/>
      <x:c r="D105" s="544"/>
      <x:c r="E105" s="544"/>
      <x:c r="F105" s="544"/>
      <x:c r="G105" s="743" t="s">
        <x:v>82</x:v>
      </x:c>
      <x:c r="H105" s="744" t="n">
        <x:f>H9</x:f>
        <x:v>46203</x:v>
      </x:c>
    </x:row>
    <x:row r="106" ht="35" customHeight="1">
      <x:c r="B106" s="736"/>
      <x:c r="C106" s="544"/>
      <x:c r="D106" s="544"/>
      <x:c r="E106" s="544"/>
      <x:c r="F106" s="544"/>
      <x:c r="G106" s="743"/>
      <x:c r="H106" s="745"/>
    </x:row>
    <x:row r="107" ht="18.75">
      <x:c r="B107" s="680" t="s">
        <x:v>83</x:v>
      </x:c>
      <x:c r="C107" s="547" t="s">
        <x:v>132</x:v>
      </x:c>
      <x:c r="D107" s="547"/>
      <x:c r="E107" s="547"/>
      <x:c r="F107" s="725"/>
      <x:c r="G107" s="746"/>
      <x:c r="H107" s="740"/>
    </x:row>
    <x:row r="108" ht="18.75">
      <x:c r="B108" s="680"/>
      <x:c r="C108" s="668" t="s">
        <x:v>133</x:v>
      </x:c>
      <x:c r="D108" s="548"/>
      <x:c r="E108" s="548"/>
      <x:c r="F108" s="725"/>
      <x:c r="G108" s="746"/>
      <x:c r="H108" s="740"/>
    </x:row>
    <x:row r="109" ht="30" customHeight="1">
      <x:c r="B109" s="547" t="s">
        <x:v>86</x:v>
      </x:c>
      <x:c r="C109" s="541" t="s">
        <x:v>134</x:v>
      </x:c>
      <x:c r="D109" s="541"/>
      <x:c r="E109" s="541"/>
      <x:c r="F109" s="541"/>
      <x:c r="G109" s="743" t="s">
        <x:v>88</x:v>
      </x:c>
      <x:c r="H109" s="670" t="s">
        <x:v>135</x:v>
      </x:c>
    </x:row>
    <x:row r="110" ht="49" customHeight="1">
      <x:c r="B110" s="747"/>
      <x:c r="C110" s="541"/>
      <x:c r="D110" s="541"/>
      <x:c r="E110" s="541"/>
      <x:c r="F110" s="541"/>
      <x:c r="G110" s="743"/>
      <x:c r="H110" s="748"/>
    </x:row>
    <x:row r="111" ht="18">
      <x:c r="B111" s="715" t="s">
        <x:v>90</x:v>
      </x:c>
      <x:c r="C111" s="607" t="s">
        <x:v>91</x:v>
      </x:c>
      <x:c r="D111" s="547"/>
      <x:c r="E111" s="547"/>
      <x:c r="F111" s="608"/>
      <x:c r="G111" s="749"/>
      <x:c r="H111" s="733"/>
    </x:row>
    <x:row r="112" ht="40" customHeight="1">
      <x:c r="B112" s="715"/>
      <x:c r="C112" s="541" t="s">
        <x:v>92</x:v>
      </x:c>
      <x:c r="D112" s="541"/>
      <x:c r="E112" s="541"/>
      <x:c r="F112" s="541"/>
      <x:c r="G112" s="749"/>
      <x:c r="H112" s="733"/>
    </x:row>
    <x:row r="113" ht="18">
      <x:c r="B113" s="715"/>
      <x:c r="C113" s="546" t="s">
        <x:v>93</x:v>
      </x:c>
      <x:c r="D113" s="547"/>
      <x:c r="E113" s="547"/>
      <x:c r="F113" s="608"/>
      <x:c r="G113" s="749"/>
      <x:c r="H113" s="733"/>
    </x:row>
    <x:row r="114" ht="18">
      <x:c r="B114" s="715"/>
      <x:c r="C114" s="546" t="s">
        <x:v>94</x:v>
      </x:c>
      <x:c r="D114" s="547"/>
      <x:c r="E114" s="547"/>
      <x:c r="F114" s="608"/>
      <x:c r="G114" s="733"/>
      <x:c r="H114" s="733"/>
    </x:row>
    <x:row r="115" ht="15.75">
      <x:c r="B115" s="750" t="s">
        <x:v>95</x:v>
      </x:c>
      <x:c r="C115" s="751"/>
      <x:c r="D115" s="751"/>
      <x:c r="E115" s="751"/>
      <x:c r="F115" s="731"/>
      <x:c r="G115" s="733"/>
      <x:c r="H115" s="733"/>
    </x:row>
    <x:row r="116" ht="15">
      <x:c r="B116" s="752" t="s">
        <x:v>96</x:v>
      </x:c>
      <x:c r="C116" s="752"/>
      <x:c r="D116" s="752"/>
      <x:c r="E116" s="752"/>
      <x:c r="F116" s="752"/>
      <x:c r="G116" s="752"/>
      <x:c r="H116" s="752"/>
    </x:row>
    <x:row r="117" ht="6" customHeight="1">
      <x:c r="B117" s="753"/>
      <x:c r="C117" s="754"/>
      <x:c r="D117" s="755"/>
      <x:c r="E117" s="754"/>
      <x:c r="F117" s="754"/>
      <x:c r="G117" s="754"/>
      <x:c r="H117" s="733"/>
    </x:row>
    <x:row r="118" ht="36">
      <x:c r="B118" s="727" t="s">
        <x:v>97</x:v>
      </x:c>
      <x:c r="C118" s="727" t="s">
        <x:v>98</x:v>
      </x:c>
      <x:c r="D118" s="727" t="s">
        <x:v>99</x:v>
      </x:c>
      <x:c r="E118" s="756" t="s">
        <x:v>100</x:v>
      </x:c>
      <x:c r="F118" s="757" t="s">
        <x:v>101</x:v>
      </x:c>
      <x:c r="G118" s="727" t="s">
        <x:v>102</x:v>
      </x:c>
      <x:c r="H118" s="727" t="s">
        <x:v>103</x:v>
      </x:c>
    </x:row>
    <x:row r="119" ht="18">
      <x:c r="B119" s="727"/>
      <x:c r="C119" s="727"/>
      <x:c r="D119" s="727"/>
      <x:c r="E119" s="756"/>
      <x:c r="F119" s="758" t="s">
        <x:v>129</x:v>
      </x:c>
      <x:c r="G119" s="758"/>
      <x:c r="H119" s="727"/>
    </x:row>
    <x:row r="120" ht="51" customHeight="1">
      <x:c r="A120" s="407">
        <x:v>35</x:v>
      </x:c>
      <x:c r="B120" s="621" t="e" cm="1">
        <x:f t="array" ref="B120">LOOKUP(1,0/((WHSU6439229!V:V=$H$101)*(WHSU6439229!A:A=A120)),WHSU6439229!D:D)</x:f>
        <x:v>#N/A</x:v>
      </x:c>
      <x:c r="C120" s="621" t="e" cm="1">
        <x:f t="array" ref="C120">LOOKUP(1,0/((WHSU6439229!V:V=$H$101)*(WHSU6439229!A:A=A120)),WHSU6439229!G:G&amp;WHSU6439229!F:F)</x:f>
        <x:v>#N/A</x:v>
      </x:c>
      <x:c r="D120" s="621" t="e" cm="1">
        <x:f t="array" ref="D120">LOOKUP(1,0/((WHSU6439229!V:V=$H$101)*(WHSU6439229!A:A=A120)),WHSU6439229!K:K)</x:f>
        <x:v>#N/A</x:v>
      </x:c>
      <x:c r="E120" s="578" t="e" cm="1">
        <x:f t="array" ref="E120">LOOKUP(1,0/((WHSU6439229!V:V=$H$101)*(WHSU6439229!A:A=A120)),WHSU6439229!J:J)</x:f>
        <x:v>#N/A</x:v>
      </x:c>
      <x:c r="F120" s="720" t="e" cm="1">
        <x:f t="array" ref="F120">LOOKUP(1,0/((WHSU6439229!V:V=$H$101)*(WHSU6439229!A:A=A120)),WHSU6439229!Z:Z)</x:f>
        <x:v>#N/A</x:v>
      </x:c>
      <x:c r="G120" s="581" t="e">
        <x:f>F120*D120</x:f>
        <x:v>#N/A</x:v>
      </x:c>
      <x:c r="H120" s="727"/>
    </x:row>
    <x:row r="121" ht="48" customHeight="1">
      <x:c r="A121" s="407"/>
      <x:c r="B121" s="621"/>
      <x:c r="C121" s="621"/>
      <x:c r="D121" s="621"/>
      <x:c r="E121" s="578"/>
      <x:c r="F121" s="581"/>
      <x:c r="G121" s="581"/>
      <x:c r="H121" s="727"/>
    </x:row>
    <x:row r="122" ht="48" customHeight="1">
      <x:c r="A122" s="407"/>
      <x:c r="B122" s="621"/>
      <x:c r="C122" s="621"/>
      <x:c r="D122" s="621"/>
      <x:c r="E122" s="578"/>
      <x:c r="F122" s="784"/>
      <x:c r="G122" s="581"/>
      <x:c r="H122" s="727"/>
    </x:row>
    <x:row r="123" ht="48" customHeight="1">
      <x:c r="A123" s="407"/>
      <x:c r="B123" s="621"/>
      <x:c r="C123" s="621"/>
      <x:c r="D123" s="621"/>
      <x:c r="E123" s="578"/>
      <x:c r="F123" s="581"/>
      <x:c r="G123" s="581"/>
      <x:c r="H123" s="727"/>
    </x:row>
    <x:row r="124" ht="48" customHeight="1">
      <x:c r="A124" s="407"/>
      <x:c r="B124" s="621"/>
      <x:c r="C124" s="621"/>
      <x:c r="D124" s="621"/>
      <x:c r="E124" s="578"/>
      <x:c r="F124" s="581"/>
      <x:c r="G124" s="581"/>
      <x:c r="H124" s="727"/>
    </x:row>
    <x:row r="125" ht="48" customHeight="1">
      <x:c r="A125" s="407"/>
      <x:c r="B125" s="621"/>
      <x:c r="C125" s="621"/>
      <x:c r="D125" s="621"/>
      <x:c r="E125" s="578"/>
      <x:c r="F125" s="581"/>
      <x:c r="G125" s="581"/>
      <x:c r="H125" s="727"/>
    </x:row>
    <x:row r="126" ht="48" customHeight="1">
      <x:c r="A126" s="407"/>
      <x:c r="B126" s="621"/>
      <x:c r="C126" s="621"/>
      <x:c r="D126" s="621"/>
      <x:c r="E126" s="578"/>
      <x:c r="F126" s="581"/>
      <x:c r="G126" s="581"/>
      <x:c r="H126" s="727"/>
    </x:row>
    <x:row r="127" ht="48" customHeight="1">
      <x:c r="A127" s="407"/>
      <x:c r="B127" s="621"/>
      <x:c r="C127" s="621"/>
      <x:c r="D127" s="621"/>
      <x:c r="E127" s="578"/>
      <x:c r="F127" s="581"/>
      <x:c r="G127" s="581"/>
      <x:c r="H127" s="727"/>
    </x:row>
    <x:row r="128" ht="32" customHeight="1">
      <x:c r="B128" s="759"/>
      <x:c r="C128" s="760"/>
      <x:c r="D128" s="761"/>
      <x:c r="E128" s="760"/>
      <x:c r="F128" s="581"/>
      <x:c r="G128" s="762" t="e">
        <x:f>SUM(G120:G127)</x:f>
        <x:v>#N/A</x:v>
      </x:c>
      <x:c r="H128" s="760"/>
    </x:row>
    <x:row r="129" ht="4" customHeight="1">
      <x:c r="B129" s="732"/>
      <x:c r="C129" s="763"/>
      <x:c r="D129" s="733"/>
      <x:c r="E129" s="754"/>
      <x:c r="F129" s="764"/>
      <x:c r="G129" s="765"/>
      <x:c r="H129" s="754"/>
    </x:row>
    <x:row r="130" ht="16.5">
      <x:c r="B130" s="766" t="s">
        <x:v>105</x:v>
      </x:c>
      <x:c r="C130" s="629" t="s">
        <x:v>106</x:v>
      </x:c>
      <x:c r="D130" s="630"/>
      <x:c r="E130" s="630"/>
      <x:c r="F130" s="630"/>
      <x:c r="G130" s="767"/>
      <x:c r="H130" s="733"/>
    </x:row>
    <x:row r="131" ht="16.5">
      <x:c r="B131" s="768" t="s">
        <x:v>107</x:v>
      </x:c>
      <x:c r="C131" s="634" t="s">
        <x:v>129</x:v>
      </x:c>
      <x:c r="D131" s="634"/>
      <x:c r="E131" s="769"/>
      <x:c r="F131" s="769"/>
      <x:c r="G131" s="769"/>
      <x:c r="H131" s="763"/>
    </x:row>
    <x:row r="132" ht="16.5">
      <x:c r="B132" s="770" t="s">
        <x:v>108</x:v>
      </x:c>
      <x:c r="C132" s="634" t="s">
        <x:v>109</x:v>
      </x:c>
      <x:c r="D132" s="634"/>
      <x:c r="E132" s="634"/>
      <x:c r="F132" s="639"/>
      <x:c r="G132" s="639"/>
      <x:c r="H132" s="771"/>
    </x:row>
    <x:row r="133" ht="33">
      <x:c r="B133" s="768" t="s">
        <x:v>110</x:v>
      </x:c>
      <x:c r="C133" s="634" t="s">
        <x:v>111</x:v>
      </x:c>
      <x:c r="D133" s="639"/>
      <x:c r="E133" s="772" t="s">
        <x:v>112</x:v>
      </x:c>
      <x:c r="F133" s="772"/>
      <x:c r="G133" s="773" t="s">
        <x:v>113</x:v>
      </x:c>
      <x:c r="H133" s="771"/>
    </x:row>
    <x:row r="134" ht="33">
      <x:c r="B134" s="774" t="s">
        <x:v>114</x:v>
      </x:c>
      <x:c r="C134" s="634" t="s">
        <x:v>115</x:v>
      </x:c>
      <x:c r="D134" s="639"/>
      <x:c r="E134" s="639"/>
      <x:c r="F134" s="639"/>
      <x:c r="G134" s="639"/>
      <x:c r="H134" s="771"/>
    </x:row>
    <x:row r="135" ht="16.5">
      <x:c r="B135" s="639" t="s">
        <x:v>116</x:v>
      </x:c>
      <x:c r="C135" s="639"/>
      <x:c r="D135" s="639"/>
      <x:c r="E135" s="639"/>
      <x:c r="F135" s="639"/>
      <x:c r="G135" s="639"/>
      <x:c r="H135" s="771"/>
    </x:row>
    <x:row r="136" ht="16.5">
      <x:c r="B136" s="639" t="s">
        <x:v>117</x:v>
      </x:c>
      <x:c r="C136" s="639"/>
      <x:c r="D136" s="639"/>
      <x:c r="E136" s="639"/>
      <x:c r="F136" s="639"/>
      <x:c r="G136" s="639"/>
      <x:c r="H136" s="771"/>
    </x:row>
    <x:row r="137" ht="15.75">
      <x:c r="B137" s="775"/>
      <x:c r="C137" s="775"/>
      <x:c r="D137" s="775"/>
      <x:c r="E137" s="775"/>
      <x:c r="F137" s="775"/>
      <x:c r="G137" s="775"/>
      <x:c r="H137" s="775"/>
    </x:row>
    <x:row r="138" ht="31.5">
      <x:c r="B138" s="776" t="s">
        <x:v>118</x:v>
      </x:c>
      <x:c r="C138" s="730" t="s">
        <x:v>119</x:v>
      </x:c>
      <x:c r="D138" s="777" t="s">
        <x:v>120</x:v>
      </x:c>
      <x:c r="E138" s="778" t="s">
        <x:v>136</x:v>
      </x:c>
      <x:c r="F138" s="779"/>
      <x:c r="G138" s="779"/>
      <x:c r="H138" s="779"/>
    </x:row>
    <x:row r="139" ht="28.5">
      <x:c r="B139" s="776" t="s">
        <x:v>122</x:v>
      </x:c>
      <x:c r="C139" s="780"/>
      <x:c r="D139" s="781" t="s">
        <x:v>123</x:v>
      </x:c>
      <x:c r="E139" s="781"/>
      <x:c r="F139" s="782"/>
      <x:c r="G139" s="783"/>
      <x:c r="H139" s="783"/>
    </x:row>
  </x:sheetData>
  <x:mergeCells>
    <x:mergeCell ref="B1:H1"/>
    <x:mergeCell ref="B2:H2"/>
    <x:mergeCell ref="B3:H3"/>
    <x:mergeCell ref="C4:D4"/>
    <x:mergeCell ref="C16:F16"/>
    <x:mergeCell ref="B20:H20"/>
    <x:mergeCell ref="F23:G23"/>
    <x:mergeCell ref="C44:D44"/>
    <x:mergeCell ref="E46:F46"/>
    <x:mergeCell ref="E51:H51"/>
    <x:mergeCell ref="D52:E52"/>
    <x:mergeCell ref="G52:H52"/>
    <x:mergeCell ref="B55:H55"/>
    <x:mergeCell ref="B56:H56"/>
    <x:mergeCell ref="B57:H57"/>
    <x:mergeCell ref="C58:D58"/>
    <x:mergeCell ref="C70:F70"/>
    <x:mergeCell ref="B74:H74"/>
    <x:mergeCell ref="F77:G77"/>
    <x:mergeCell ref="C86:D86"/>
    <x:mergeCell ref="E88:F88"/>
    <x:mergeCell ref="E93:H93"/>
    <x:mergeCell ref="D94:E94"/>
    <x:mergeCell ref="G94:H94"/>
    <x:mergeCell ref="B97:H97"/>
    <x:mergeCell ref="B98:H98"/>
    <x:mergeCell ref="B99:H99"/>
    <x:mergeCell ref="C100:D100"/>
    <x:mergeCell ref="C112:F112"/>
    <x:mergeCell ref="B116:H116"/>
    <x:mergeCell ref="F119:G119"/>
    <x:mergeCell ref="C131:D131"/>
    <x:mergeCell ref="E133:F133"/>
    <x:mergeCell ref="E138:H138"/>
    <x:mergeCell ref="D139:E139"/>
    <x:mergeCell ref="G139:H139"/>
    <x:mergeCell ref="B5:B6"/>
    <x:mergeCell ref="B11:B12"/>
    <x:mergeCell ref="B59:B60"/>
    <x:mergeCell ref="B65:B66"/>
    <x:mergeCell ref="B101:B102"/>
    <x:mergeCell ref="B107:B108"/>
    <x:mergeCell ref="G5:G6"/>
    <x:mergeCell ref="G9:G10"/>
    <x:mergeCell ref="G13:G14"/>
    <x:mergeCell ref="G59:G60"/>
    <x:mergeCell ref="G63:G64"/>
    <x:mergeCell ref="G67:G68"/>
    <x:mergeCell ref="G101:G102"/>
    <x:mergeCell ref="G105:G106"/>
    <x:mergeCell ref="G109:G110"/>
    <x:mergeCell ref="H9:H10"/>
    <x:mergeCell ref="H13:H14"/>
    <x:mergeCell ref="H63:H64"/>
    <x:mergeCell ref="H67:H68"/>
    <x:mergeCell ref="H105:H106"/>
    <x:mergeCell ref="H109:H110"/>
    <x:mergeCell ref="C13:F14"/>
    <x:mergeCell ref="C8:F10"/>
    <x:mergeCell ref="C62:F64"/>
    <x:mergeCell ref="C67:F68"/>
    <x:mergeCell ref="C104:F106"/>
    <x:mergeCell ref="C109:F110"/>
  </x:mergeCells>
  <x:conditionalFormatting sqref="C15:C15">
    <x:cfRule type="cellIs" dxfId="0" priority="12" stopIfTrue="1" operator="equal">
      <x:formula>0</x:formula>
    </x:cfRule>
  </x:conditionalFormatting>
  <x:conditionalFormatting sqref="C69:C69">
    <x:cfRule type="cellIs" dxfId="0" priority="1" stopIfTrue="1" operator="equal">
      <x:formula>0</x:formula>
    </x:cfRule>
  </x:conditionalFormatting>
  <x:conditionalFormatting sqref="C111:C111">
    <x:cfRule type="cellIs" dxfId="0" priority="2" stopIfTrue="1" operator="equal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616666793823242" defaultRowHeight="13.5"/>
  <x:cols>
    <x:col min="1" max="1" width="6.883333206176758" customWidth="1"/>
    <x:col min="2" max="2" width="48.75" customWidth="1"/>
    <x:col min="3" max="3" width="60.21666717529297" style="517" customWidth="1"/>
    <x:col min="4" max="4" width="13.208333015441895" style="517" customWidth="1"/>
    <x:col min="5" max="6" width="13.199999809265137" customWidth="1"/>
    <x:col min="7" max="8" width="15.358333587646484" customWidth="1"/>
    <x:col min="9" max="9" width="19.233333587646484" customWidth="1"/>
    <x:col min="10" max="10" width="19.46666717529297" customWidth="1"/>
  </x:cols>
  <x:sheetData>
    <x:row r="1" ht="30">
      <x:c r="A1" s="655"/>
      <x:c r="B1" s="656" t="s">
        <x:v>73</x:v>
      </x:c>
      <x:c r="C1" s="656"/>
      <x:c r="D1" s="656"/>
      <x:c r="E1" s="656"/>
      <x:c r="F1" s="656"/>
      <x:c r="G1" s="656"/>
      <x:c r="H1" s="656"/>
      <x:c r="I1" s="656"/>
      <x:c r="J1" s="656"/>
    </x:row>
    <x:row r="2" ht="24" customHeight="1">
      <x:c r="A2" s="657"/>
      <x:c r="B2" s="658" t="s">
        <x:v>79</x:v>
      </x:c>
      <x:c r="C2" s="658"/>
      <x:c r="D2" s="658"/>
      <x:c r="E2" s="658"/>
      <x:c r="F2" s="658"/>
      <x:c r="G2" s="658"/>
      <x:c r="H2" s="658"/>
      <x:c r="I2" s="658"/>
      <x:c r="J2" s="658"/>
    </x:row>
    <x:row r="3" ht="35" customHeight="1">
      <x:c r="A3" s="659"/>
      <x:c r="B3" s="660" t="s">
        <x:v>137</x:v>
      </x:c>
      <x:c r="C3" s="660"/>
      <x:c r="D3" s="660"/>
      <x:c r="E3" s="660"/>
      <x:c r="F3" s="660"/>
      <x:c r="G3" s="660"/>
      <x:c r="H3" s="660"/>
      <x:c r="I3" s="660"/>
      <x:c r="J3" s="660"/>
    </x:row>
    <x:row r="4" ht="18">
      <x:c r="A4" s="659"/>
      <x:c r="B4" s="660" t="s">
        <x:v>138</x:v>
      </x:c>
      <x:c r="C4" s="660"/>
      <x:c r="D4" s="660"/>
      <x:c r="E4" s="660"/>
      <x:c r="F4" s="660"/>
      <x:c r="G4" s="660"/>
      <x:c r="H4" s="660"/>
      <x:c r="I4" s="660"/>
      <x:c r="J4" s="660"/>
    </x:row>
    <x:row r="5" ht="25.5">
      <x:c r="A5" s="661"/>
      <x:c r="B5" s="662" t="s">
        <x:v>139</x:v>
      </x:c>
      <x:c r="C5" s="662"/>
      <x:c r="D5" s="662"/>
      <x:c r="E5" s="662"/>
      <x:c r="F5" s="662"/>
      <x:c r="G5" s="662"/>
      <x:c r="H5" s="662"/>
      <x:c r="I5" s="662"/>
      <x:c r="J5" s="662"/>
    </x:row>
    <x:row r="6" ht="21.75">
      <x:c r="A6" s="663"/>
      <x:c r="B6" s="664" t="s">
        <x:v>140</x:v>
      </x:c>
      <x:c r="C6" s="664"/>
      <x:c r="D6" s="664"/>
      <x:c r="E6" s="664"/>
      <x:c r="F6" s="664"/>
      <x:c r="G6" s="664"/>
      <x:c r="H6" s="664"/>
      <x:c r="I6" s="664"/>
      <x:c r="J6" s="664"/>
    </x:row>
    <x:row r="7" ht="18">
      <x:c r="A7" s="665"/>
      <x:c r="B7" s="666"/>
      <x:c r="C7" s="666"/>
      <x:c r="D7" s="666"/>
      <x:c r="E7" s="666"/>
      <x:c r="F7" s="666"/>
      <x:c r="G7" s="666"/>
      <x:c r="H7" s="666"/>
      <x:c r="I7" s="666"/>
      <x:c r="J7" s="666"/>
    </x:row>
    <x:row r="8" ht="18">
      <x:c r="A8" s="542"/>
      <x:c r="B8" s="541" t="s">
        <x:v>141</x:v>
      </x:c>
      <x:c r="C8" s="541"/>
      <x:c r="D8" s="541"/>
      <x:c r="E8" s="541"/>
      <x:c r="F8" s="541"/>
      <x:c r="G8" s="541"/>
      <x:c r="H8" s="541"/>
      <x:c r="I8" s="667"/>
      <x:c r="J8" s="667"/>
    </x:row>
    <x:row r="9" ht="33">
      <x:c r="A9" s="668"/>
      <x:c r="B9" s="544" t="s">
        <x:v>142</x:v>
      </x:c>
      <x:c r="C9" s="544"/>
      <x:c r="D9" s="544"/>
      <x:c r="E9" s="544"/>
      <x:c r="F9" s="544"/>
      <x:c r="G9" s="544"/>
      <x:c r="H9" s="544"/>
      <x:c r="I9" s="669" t="s">
        <x:v>143</x:v>
      </x:c>
      <x:c r="J9" s="670" t="s">
        <x:v>144</x:v>
      </x:c>
    </x:row>
    <x:row r="10" ht="18">
      <x:c r="A10" s="671"/>
      <x:c r="B10" s="672" t="s">
        <x:v>73</x:v>
      </x:c>
      <x:c r="C10" s="672"/>
      <x:c r="D10" s="672"/>
      <x:c r="E10" s="672"/>
      <x:c r="F10" s="672"/>
      <x:c r="G10" s="672"/>
      <x:c r="H10" s="672"/>
      <x:c r="I10" s="669"/>
      <x:c r="J10" s="673"/>
    </x:row>
    <x:row r="11" ht="42" customHeight="1">
      <x:c r="A11" s="542"/>
      <x:c r="B11" s="541" t="s">
        <x:v>145</x:v>
      </x:c>
      <x:c r="C11" s="541"/>
      <x:c r="D11" s="541"/>
      <x:c r="E11" s="541"/>
      <x:c r="F11" s="541"/>
      <x:c r="G11" s="542"/>
      <x:c r="H11" s="542"/>
      <x:c r="I11" s="674" t="s">
        <x:v>146</x:v>
      </x:c>
      <x:c r="J11" s="675" t="e">
        <x:f>全球合同!H9</x:f>
        <x:v>#NAME?</x:v>
      </x:c>
    </x:row>
    <x:row r="12" ht="28" customHeight="1">
      <x:c r="A12" s="542"/>
      <x:c r="B12" s="541"/>
      <x:c r="C12" s="541"/>
      <x:c r="D12" s="541"/>
      <x:c r="E12" s="541"/>
      <x:c r="F12" s="541"/>
      <x:c r="G12" s="542"/>
      <x:c r="H12" s="542"/>
      <x:c r="I12" s="674"/>
      <x:c r="J12" s="676"/>
    </x:row>
    <x:row r="13" ht="33">
      <x:c r="A13" s="668"/>
      <x:c r="B13" s="544" t="s">
        <x:v>147</x:v>
      </x:c>
      <x:c r="C13" s="544"/>
      <x:c r="D13" s="544"/>
      <x:c r="E13" s="544"/>
      <x:c r="F13" s="544"/>
      <x:c r="G13" s="544"/>
      <x:c r="H13" s="544"/>
      <x:c r="I13" s="677" t="s">
        <x:v>148</x:v>
      </x:c>
      <x:c r="J13" s="670" t="e">
        <x:f>全球合同!H5</x:f>
        <x:v>#NAME?</x:v>
      </x:c>
    </x:row>
    <x:row r="14" ht="18">
      <x:c r="A14" s="542"/>
      <x:c r="B14" s="541" t="s">
        <x:v>91</x:v>
      </x:c>
      <x:c r="C14" s="541"/>
      <x:c r="D14" s="541"/>
      <x:c r="E14" s="542"/>
      <x:c r="F14" s="542"/>
      <x:c r="G14" s="542"/>
      <x:c r="H14" s="542"/>
      <x:c r="I14" s="677"/>
      <x:c r="J14" s="673"/>
    </x:row>
    <x:row r="15" ht="25" customHeight="1">
      <x:c r="A15" s="668"/>
      <x:c r="B15" s="544" t="s">
        <x:v>92</x:v>
      </x:c>
      <x:c r="C15" s="544"/>
      <x:c r="D15" s="544"/>
      <x:c r="E15" s="544"/>
      <x:c r="F15" s="544"/>
      <x:c r="G15" s="544"/>
      <x:c r="H15" s="544"/>
      <x:c r="I15" s="678"/>
      <x:c r="J15" s="679"/>
    </x:row>
    <x:row r="16" ht="18">
      <x:c r="A16" s="668"/>
      <x:c r="B16" s="544"/>
      <x:c r="C16" s="544"/>
      <x:c r="D16" s="544"/>
      <x:c r="E16" s="544"/>
      <x:c r="F16" s="544"/>
      <x:c r="G16" s="544"/>
      <x:c r="H16" s="544"/>
      <x:c r="I16" s="674" t="s">
        <x:v>149</x:v>
      </x:c>
      <x:c r="J16" s="680" t="s">
        <x:v>150</x:v>
      </x:c>
    </x:row>
    <x:row r="17" ht="18">
      <x:c r="A17" s="668"/>
      <x:c r="B17" s="547" t="s">
        <x:v>151</x:v>
      </x:c>
      <x:c r="C17" s="548"/>
      <x:c r="D17" s="548"/>
      <x:c r="E17" s="548"/>
      <x:c r="F17" s="549"/>
      <x:c r="G17" s="550"/>
      <x:c r="H17" s="551"/>
      <x:c r="I17" s="674"/>
      <x:c r="J17" s="680"/>
    </x:row>
    <x:row r="18" ht="18">
      <x:c r="A18" s="668"/>
      <x:c r="B18" s="547" t="s">
        <x:v>152</x:v>
      </x:c>
      <x:c r="C18" s="548"/>
      <x:c r="D18" s="548"/>
      <x:c r="E18" s="552"/>
      <x:c r="F18" s="549"/>
      <x:c r="G18" s="550"/>
      <x:c r="H18" s="551"/>
      <x:c r="I18" s="674"/>
      <x:c r="J18" s="680"/>
    </x:row>
    <x:row r="19" ht="18">
      <x:c r="A19" s="548"/>
      <x:c r="B19" s="544" t="s">
        <x:v>94</x:v>
      </x:c>
      <x:c r="C19" s="544"/>
      <x:c r="D19" s="544"/>
      <x:c r="E19" s="544"/>
      <x:c r="F19" s="544"/>
      <x:c r="G19" s="544"/>
      <x:c r="H19" s="544"/>
      <x:c r="I19" s="674"/>
      <x:c r="J19" s="681"/>
    </x:row>
    <x:row r="20" ht="18">
      <x:c r="A20" s="548"/>
      <x:c r="B20" s="546" t="s">
        <x:v>153</x:v>
      </x:c>
      <x:c r="C20" s="557"/>
      <x:c r="D20" s="557"/>
      <x:c r="E20" s="557"/>
      <x:c r="F20" s="557"/>
      <x:c r="G20" s="557"/>
      <x:c r="H20" s="557"/>
      <x:c r="I20" s="682"/>
      <x:c r="J20" s="683"/>
    </x:row>
    <x:row r="21" ht="18">
      <x:c r="A21" s="668"/>
      <x:c r="B21" s="544" t="s">
        <x:v>154</x:v>
      </x:c>
      <x:c r="C21" s="544"/>
      <x:c r="D21" s="544"/>
      <x:c r="E21" s="544"/>
      <x:c r="F21" s="544"/>
      <x:c r="G21" s="544"/>
      <x:c r="H21" s="544"/>
      <x:c r="I21" s="682"/>
      <x:c r="J21" s="683"/>
    </x:row>
    <x:row r="22" ht="18">
      <x:c r="A22" s="557"/>
      <x:c r="B22" s="557" t="s">
        <x:v>155</x:v>
      </x:c>
      <x:c r="C22" s="557"/>
      <x:c r="D22" s="557"/>
      <x:c r="E22" s="557"/>
      <x:c r="F22" s="557"/>
      <x:c r="G22" s="557"/>
      <x:c r="H22" s="557"/>
      <x:c r="I22" s="682"/>
      <x:c r="J22" s="683"/>
    </x:row>
    <x:row r="23" ht="18">
      <x:c r="A23" s="548"/>
      <x:c r="B23" s="547" t="s">
        <x:v>84</x:v>
      </x:c>
      <x:c r="C23" s="552"/>
      <x:c r="D23" s="552"/>
      <x:c r="E23" s="684"/>
      <x:c r="F23" s="684"/>
      <x:c r="G23" s="685"/>
      <x:c r="H23" s="685"/>
      <x:c r="I23" s="682"/>
      <x:c r="J23" s="683"/>
    </x:row>
    <x:row r="24" ht="18">
      <x:c r="A24" s="548"/>
      <x:c r="B24" s="548" t="s">
        <x:v>85</x:v>
      </x:c>
      <x:c r="C24" s="548"/>
      <x:c r="D24" s="548"/>
      <x:c r="E24" s="552"/>
      <x:c r="F24" s="684"/>
      <x:c r="G24" s="685"/>
      <x:c r="H24" s="685"/>
      <x:c r="I24" s="682"/>
      <x:c r="J24" s="683"/>
    </x:row>
    <x:row r="25" s="653" customFormat="1" ht="26" customHeight="1">
      <x:c r="A25" s="542"/>
      <x:c r="B25" s="541" t="s">
        <x:v>156</x:v>
      </x:c>
      <x:c r="C25" s="541"/>
      <x:c r="D25" s="541"/>
      <x:c r="E25" s="541"/>
      <x:c r="F25" s="541"/>
      <x:c r="G25" s="541"/>
      <x:c r="H25" s="541"/>
      <x:c r="I25" s="686"/>
      <x:c r="J25" s="686"/>
    </x:row>
    <x:row r="26" s="653" customFormat="1" ht="26" customHeight="1">
      <x:c r="A26" s="542"/>
      <x:c r="B26" s="541"/>
      <x:c r="C26" s="541"/>
      <x:c r="D26" s="541"/>
      <x:c r="E26" s="541"/>
      <x:c r="F26" s="541"/>
      <x:c r="G26" s="541"/>
      <x:c r="H26" s="541"/>
      <x:c r="I26" s="686"/>
      <x:c r="J26" s="686"/>
    </x:row>
    <x:row r="27" s="653" customFormat="1" ht="27" customHeight="1">
      <x:c r="A27" s="542"/>
      <x:c r="B27" s="541"/>
      <x:c r="C27" s="541"/>
      <x:c r="D27" s="541"/>
      <x:c r="E27" s="541"/>
      <x:c r="F27" s="541"/>
      <x:c r="G27" s="541"/>
      <x:c r="H27" s="541"/>
      <x:c r="I27" s="686"/>
      <x:c r="J27" s="686"/>
    </x:row>
    <x:row r="28" ht="6" customHeight="1">
      <x:c r="B28" s="687"/>
      <x:c r="C28" s="688"/>
      <x:c r="D28" s="688"/>
      <x:c r="E28" s="687"/>
      <x:c r="F28" s="687"/>
      <x:c r="G28" s="689"/>
      <x:c r="H28" s="689"/>
      <x:c r="I28" s="687"/>
      <x:c r="J28" s="687"/>
    </x:row>
    <x:row r="29" ht="31.5">
      <x:c r="B29" s="571" t="s">
        <x:v>157</x:v>
      </x:c>
      <x:c r="C29" s="690" t="s">
        <x:v>158</x:v>
      </x:c>
      <x:c r="D29" s="691"/>
      <x:c r="E29" s="691"/>
      <x:c r="F29" s="692"/>
      <x:c r="G29" s="570" t="s">
        <x:v>159</x:v>
      </x:c>
      <x:c r="H29" s="693"/>
      <x:c r="I29" s="694" t="s">
        <x:v>160</x:v>
      </x:c>
      <x:c r="J29" s="695"/>
    </x:row>
    <x:row r="30" ht="31.5">
      <x:c r="B30" s="571" t="s">
        <x:v>161</x:v>
      </x:c>
      <x:c r="C30" s="571" t="s">
        <x:v>162</x:v>
      </x:c>
      <x:c r="D30" s="570" t="s">
        <x:v>163</x:v>
      </x:c>
      <x:c r="E30" s="571" t="s">
        <x:v>28</x:v>
      </x:c>
      <x:c r="F30" s="361" t="s">
        <x:v>164</x:v>
      </x:c>
      <x:c r="G30" s="570" t="s">
        <x:v>163</x:v>
      </x:c>
      <x:c r="H30" s="571" t="s">
        <x:v>28</x:v>
      </x:c>
      <x:c r="I30" s="571" t="s">
        <x:v>165</x:v>
      </x:c>
      <x:c r="J30" s="571" t="s">
        <x:v>166</x:v>
      </x:c>
    </x:row>
    <x:row r="31" ht="18">
      <x:c r="B31" s="696"/>
      <x:c r="C31" s="697"/>
      <x:c r="D31" s="697"/>
      <x:c r="E31" s="696"/>
      <x:c r="F31" s="696"/>
      <x:c r="G31" s="696"/>
      <x:c r="H31" s="698"/>
      <x:c r="I31" s="699" t="s">
        <x:v>104</x:v>
      </x:c>
      <x:c r="J31" s="700"/>
    </x:row>
    <x:row r="32" ht="41" customHeight="1">
      <x:c r="A32">
        <x:v>1</x:v>
      </x:c>
      <x:c r="B32" s="577" t="e" cm="1">
        <x:f t="array" ref="B32">LOOKUP(1,0/((WHSU6439229!V:V=$J$13)*(WHSU6439229!X:X=$J$9)*(WHSU6439229!A:A=A32)),WHSU6439229!D:D)</x:f>
        <x:v>#N/A</x:v>
      </x:c>
      <x:c r="C32" s="577" t="e" cm="1">
        <x:f t="array" ref="C32">LOOKUP(1,0/((WHSU6439229!V:V=$J$13)*(WHSU6439229!X:X=$J$9)*(WHSU6439229!A:A=A32)),WHSU6439229!G:G&amp;WHSU6439229!F:F)</x:f>
        <x:v>#N/A</x:v>
      </x:c>
      <x:c r="D32" s="577" t="e" cm="1">
        <x:f t="array" ref="D32">LOOKUP(1,0/((WHSU6439229!D:D=B32)*(WHSU6439229!G:G&amp;WHSU6439229!F:F=C32)),WHSU6439229!L:L)</x:f>
        <x:v>#N/A</x:v>
      </x:c>
      <x:c r="E32" s="578" t="e" cm="1">
        <x:f t="array" ref="E32">LOOKUP(1,0/((WHSU6439229!D:D=B32)*(WHSU6439229!G:G&amp;WHSU6439229!F:F=C32)),WHSU6439229!M:M)</x:f>
        <x:v>#N/A</x:v>
      </x:c>
      <x:c r="F32" s="579" t="e">
        <x:f t="array" ref="F32">LOOKUP(1,0/((WHSU6439229!D:D=B32)*(WHSU6439229!G:G&amp;WHSU6439229!F:F=C32)),WHSU6439229!C:C)</x:f>
        <x:v>#N/A</x:v>
      </x:c>
      <x:c r="G32" s="580" t="e" cm="1">
        <x:f t="array" ref="G32">LOOKUP(1,0/((WHSU6439229!D:D=B32)*(WHSU6439229!G:G&amp;WHSU6439229!F:F=C32)),WHSU6439229!K:K)</x:f>
        <x:v>#N/A</x:v>
      </x:c>
      <x:c r="H32" s="580" t="e" cm="1">
        <x:f t="array" ref="H32">LOOKUP(1,0/((WHSU6439229!D:D=B32)*(WHSU6439229!G:G&amp;WHSU6439229!F:F=C32)),WHSU6439229!J:J)</x:f>
        <x:v>#N/A</x:v>
      </x:c>
      <x:c r="I32" s="581" t="e">
        <x:f t="array" ref="I32">LOOKUP(1,0/((WHSU6439229!D:D=B32)*(WHSU6439229!G:G&amp;WHSU6439229!F:F=C32)),WHSU6439229!Z:Z)</x:f>
        <x:v>#N/A</x:v>
      </x:c>
      <x:c r="J32" s="582" t="e">
        <x:f>I32*G32</x:f>
        <x:v>#N/A</x:v>
      </x:c>
    </x:row>
    <x:row r="33" ht="41" customHeight="1">
      <x:c r="A33">
        <x:v>2</x:v>
      </x:c>
      <x:c r="B33" s="577" t="e" cm="1">
        <x:f t="array" ref="B33">LOOKUP(1,0/((WHSU6439229!V:V=$J$13)*(WHSU6439229!X:X=$J$9)*(WHSU6439229!A:A=A33)),WHSU6439229!D:D)</x:f>
        <x:v>#N/A</x:v>
      </x:c>
      <x:c r="C33" s="577" t="e" cm="1">
        <x:f t="array" ref="C33">LOOKUP(1,0/((WHSU6439229!V:V=$J$13)*(WHSU6439229!X:X=$J$9)*(WHSU6439229!A:A=A33)),WHSU6439229!G:G&amp;WHSU6439229!F:F)</x:f>
        <x:v>#N/A</x:v>
      </x:c>
      <x:c r="D33" s="577" t="e" cm="1">
        <x:f t="array" ref="D33">LOOKUP(1,0/((WHSU6439229!D:D=B33)*(WHSU6439229!G:G&amp;WHSU6439229!F:F=C33)),WHSU6439229!L:L)</x:f>
        <x:v>#N/A</x:v>
      </x:c>
      <x:c r="E33" s="578" t="e" cm="1">
        <x:f t="array" ref="E33">LOOKUP(1,0/((WHSU6439229!D:D=B33)*(WHSU6439229!G:G&amp;WHSU6439229!F:F=C33)),WHSU6439229!M:M)</x:f>
        <x:v>#N/A</x:v>
      </x:c>
      <x:c r="F33" s="579" t="e">
        <x:f t="array" ref="F33">LOOKUP(1,0/((WHSU6439229!D:D=B33)*(WHSU6439229!G:G&amp;WHSU6439229!F:F=C33)),WHSU6439229!C:C)</x:f>
        <x:v>#N/A</x:v>
      </x:c>
      <x:c r="G33" s="580" t="e" cm="1">
        <x:f t="array" ref="G33">LOOKUP(1,0/((WHSU6439229!D:D=B33)*(WHSU6439229!G:G&amp;WHSU6439229!F:F=C33)),WHSU6439229!K:K)</x:f>
        <x:v>#N/A</x:v>
      </x:c>
      <x:c r="H33" s="580" t="e" cm="1">
        <x:f t="array" ref="H33">LOOKUP(1,0/((WHSU6439229!D:D=B33)*(WHSU6439229!G:G&amp;WHSU6439229!F:F=C33)),WHSU6439229!J:J)</x:f>
        <x:v>#N/A</x:v>
      </x:c>
      <x:c r="I33" s="581" t="e">
        <x:f t="array" ref="I33">LOOKUP(1,0/((WHSU6439229!D:D=B33)*(WHSU6439229!G:G&amp;WHSU6439229!F:F=C33)),WHSU6439229!Z:Z)</x:f>
        <x:v>#N/A</x:v>
      </x:c>
      <x:c r="J33" s="582" t="e">
        <x:f t="shared" ref="J33:J46" si="0">I33*G33</x:f>
        <x:v>#N/A</x:v>
      </x:c>
    </x:row>
    <x:row r="34" ht="41" customHeight="1">
      <x:c r="A34">
        <x:v>3</x:v>
      </x:c>
      <x:c r="B34" s="577" t="e" cm="1">
        <x:f t="array" ref="B34">LOOKUP(1,0/((WHSU6439229!V:V=$J$13)*(WHSU6439229!X:X=$J$9)*(WHSU6439229!A:A=A34)),WHSU6439229!D:D)</x:f>
        <x:v>#N/A</x:v>
      </x:c>
      <x:c r="C34" s="577" t="e" cm="1">
        <x:f t="array" ref="C34">LOOKUP(1,0/((WHSU6439229!V:V=$J$13)*(WHSU6439229!X:X=$J$9)*(WHSU6439229!A:A=A34)),WHSU6439229!G:G&amp;WHSU6439229!F:F)</x:f>
        <x:v>#N/A</x:v>
      </x:c>
      <x:c r="D34" s="577" t="e" cm="1">
        <x:f t="array" ref="D34">LOOKUP(1,0/((WHSU6439229!D:D=B34)*(WHSU6439229!G:G&amp;WHSU6439229!F:F=C34)),WHSU6439229!L:L)</x:f>
        <x:v>#N/A</x:v>
      </x:c>
      <x:c r="E34" s="578" t="e" cm="1">
        <x:f t="array" ref="E34">LOOKUP(1,0/((WHSU6439229!D:D=B34)*(WHSU6439229!G:G&amp;WHSU6439229!F:F=C34)),WHSU6439229!M:M)</x:f>
        <x:v>#N/A</x:v>
      </x:c>
      <x:c r="F34" s="579" t="e">
        <x:f t="array" ref="F34">LOOKUP(1,0/((WHSU6439229!D:D=B34)*(WHSU6439229!G:G&amp;WHSU6439229!F:F=C34)),WHSU6439229!C:C)</x:f>
        <x:v>#N/A</x:v>
      </x:c>
      <x:c r="G34" s="580" t="e" cm="1">
        <x:f t="array" ref="G34">LOOKUP(1,0/((WHSU6439229!D:D=B34)*(WHSU6439229!G:G&amp;WHSU6439229!F:F=C34)),WHSU6439229!K:K)</x:f>
        <x:v>#N/A</x:v>
      </x:c>
      <x:c r="H34" s="580" t="e" cm="1">
        <x:f t="array" ref="H34">LOOKUP(1,0/((WHSU6439229!D:D=B34)*(WHSU6439229!G:G&amp;WHSU6439229!F:F=C34)),WHSU6439229!J:J)</x:f>
        <x:v>#N/A</x:v>
      </x:c>
      <x:c r="I34" s="581" t="e">
        <x:f t="array" ref="I34">LOOKUP(1,0/((WHSU6439229!D:D=B34)*(WHSU6439229!G:G&amp;WHSU6439229!F:F=C34)),WHSU6439229!Z:Z)</x:f>
        <x:v>#N/A</x:v>
      </x:c>
      <x:c r="J34" s="582">
        <x:f t="shared" si="0"/>
        <x:v>7145.83</x:v>
      </x:c>
    </x:row>
    <x:row r="35" ht="41" customHeight="1">
      <x:c r="A35">
        <x:v>4</x:v>
      </x:c>
      <x:c r="B35" s="577" t="e" cm="1">
        <x:f t="array" ref="B35">LOOKUP(1,0/((WHSU6439229!V:V=$J$13)*(WHSU6439229!X:X=$J$9)*(WHSU6439229!A:A=A35)),WHSU6439229!D:D)</x:f>
        <x:v>#N/A</x:v>
      </x:c>
      <x:c r="C35" s="577" t="e" cm="1">
        <x:f t="array" ref="C35">LOOKUP(1,0/((WHSU6439229!V:V=$J$13)*(WHSU6439229!X:X=$J$9)*(WHSU6439229!A:A=A35)),WHSU6439229!G:G&amp;WHSU6439229!F:F)</x:f>
        <x:v>#N/A</x:v>
      </x:c>
      <x:c r="D35" s="577" t="e" cm="1">
        <x:f t="array" ref="D35">LOOKUP(1,0/((WHSU6439229!D:D=B35)*(WHSU6439229!G:G&amp;WHSU6439229!F:F=C35)),WHSU6439229!L:L)</x:f>
        <x:v>#N/A</x:v>
      </x:c>
      <x:c r="E35" s="578" t="e" cm="1">
        <x:f t="array" ref="E35">LOOKUP(1,0/((WHSU6439229!D:D=B35)*(WHSU6439229!G:G&amp;WHSU6439229!F:F=C35)),WHSU6439229!M:M)</x:f>
        <x:v>#N/A</x:v>
      </x:c>
      <x:c r="F35" s="579" t="e">
        <x:f t="array" ref="F35">LOOKUP(1,0/((WHSU6439229!D:D=B35)*(WHSU6439229!G:G&amp;WHSU6439229!F:F=C35)),WHSU6439229!C:C)</x:f>
        <x:v>#N/A</x:v>
      </x:c>
      <x:c r="G35" s="580" t="e" cm="1">
        <x:f t="array" ref="G35">LOOKUP(1,0/((WHSU6439229!D:D=B35)*(WHSU6439229!G:G&amp;WHSU6439229!F:F=C35)),WHSU6439229!K:K)</x:f>
        <x:v>#N/A</x:v>
      </x:c>
      <x:c r="H35" s="580" t="e" cm="1">
        <x:f t="array" ref="H35">LOOKUP(1,0/((WHSU6439229!D:D=B35)*(WHSU6439229!G:G&amp;WHSU6439229!F:F=C35)),WHSU6439229!J:J)</x:f>
        <x:v>#N/A</x:v>
      </x:c>
      <x:c r="I35" s="581" t="e">
        <x:f t="array" ref="I35">LOOKUP(1,0/((WHSU6439229!D:D=B35)*(WHSU6439229!G:G&amp;WHSU6439229!F:F=C35)),WHSU6439229!Z:Z)</x:f>
        <x:v>#N/A</x:v>
      </x:c>
      <x:c r="J35" s="582">
        <x:f t="shared" si="0"/>
        <x:v>7291.66</x:v>
      </x:c>
    </x:row>
    <x:row r="36" ht="40" customHeight="1">
      <x:c r="A36">
        <x:v>5</x:v>
      </x:c>
      <x:c r="B36" s="577" t="e" cm="1">
        <x:f t="array" ref="B36">LOOKUP(1,0/((WHSU6439229!V:V=$J$13)*(WHSU6439229!X:X=$J$9)*(WHSU6439229!A:A=A36)),WHSU6439229!D:D)</x:f>
        <x:v>#N/A</x:v>
      </x:c>
      <x:c r="C36" s="577" t="e" cm="1">
        <x:f t="array" ref="C36">LOOKUP(1,0/((WHSU6439229!V:V=$J$13)*(WHSU6439229!X:X=$J$9)*(WHSU6439229!A:A=A36)),WHSU6439229!G:G&amp;WHSU6439229!F:F)</x:f>
        <x:v>#N/A</x:v>
      </x:c>
      <x:c r="D36" s="577" t="e" cm="1">
        <x:f t="array" ref="D36">LOOKUP(1,0/((WHSU6439229!D:D=B36)*(WHSU6439229!G:G&amp;WHSU6439229!F:F=C36)),WHSU6439229!L:L)</x:f>
        <x:v>#N/A</x:v>
      </x:c>
      <x:c r="E36" s="578" t="e" cm="1">
        <x:f t="array" ref="E36">LOOKUP(1,0/((WHSU6439229!D:D=B36)*(WHSU6439229!G:G&amp;WHSU6439229!F:F=C36)),WHSU6439229!M:M)</x:f>
        <x:v>#N/A</x:v>
      </x:c>
      <x:c r="F36" s="579" t="e">
        <x:f t="array" ref="F36">LOOKUP(1,0/((WHSU6439229!D:D=B36)*(WHSU6439229!G:G&amp;WHSU6439229!F:F=C36)),WHSU6439229!C:C)</x:f>
        <x:v>#N/A</x:v>
      </x:c>
      <x:c r="G36" s="580" t="e" cm="1">
        <x:f t="array" ref="G36">LOOKUP(1,0/((WHSU6439229!D:D=B36)*(WHSU6439229!G:G&amp;WHSU6439229!F:F=C36)),WHSU6439229!K:K)</x:f>
        <x:v>#N/A</x:v>
      </x:c>
      <x:c r="H36" s="580" t="e" cm="1">
        <x:f t="array" ref="H36">LOOKUP(1,0/((WHSU6439229!D:D=B36)*(WHSU6439229!G:G&amp;WHSU6439229!F:F=C36)),WHSU6439229!J:J)</x:f>
        <x:v>#N/A</x:v>
      </x:c>
      <x:c r="I36" s="581" t="e">
        <x:f t="array" ref="I36">LOOKUP(1,0/((WHSU6439229!D:D=B36)*(WHSU6439229!G:G&amp;WHSU6439229!F:F=C36)),WHSU6439229!Z:Z)</x:f>
        <x:v>#N/A</x:v>
      </x:c>
      <x:c r="J36" s="582">
        <x:f t="shared" si="0"/>
        <x:v>5979.16</x:v>
      </x:c>
    </x:row>
    <x:row r="37" ht="40" customHeight="1">
      <x:c r="A37">
        <x:v>6</x:v>
      </x:c>
      <x:c r="B37" s="577" t="e" cm="1">
        <x:f t="array" ref="B37">LOOKUP(1,0/((WHSU6439229!V:V=$J$13)*(WHSU6439229!X:X=$J$9)*(WHSU6439229!A:A=A37)),WHSU6439229!D:D)</x:f>
        <x:v>#N/A</x:v>
      </x:c>
      <x:c r="C37" s="577" t="e" cm="1">
        <x:f t="array" ref="C37">LOOKUP(1,0/((WHSU6439229!V:V=$J$13)*(WHSU6439229!X:X=$J$9)*(WHSU6439229!A:A=A37)),WHSU6439229!G:G&amp;WHSU6439229!F:F)</x:f>
        <x:v>#N/A</x:v>
      </x:c>
      <x:c r="D37" s="577" t="e" cm="1">
        <x:f t="array" ref="D37">LOOKUP(1,0/((WHSU6439229!D:D=B37)*(WHSU6439229!G:G&amp;WHSU6439229!F:F=C37)),WHSU6439229!L:L)</x:f>
        <x:v>#N/A</x:v>
      </x:c>
      <x:c r="E37" s="578" t="e" cm="1">
        <x:f t="array" ref="E37">LOOKUP(1,0/((WHSU6439229!D:D=B37)*(WHSU6439229!G:G&amp;WHSU6439229!F:F=C37)),WHSU6439229!M:M)</x:f>
        <x:v>#N/A</x:v>
      </x:c>
      <x:c r="F37" s="579" t="e">
        <x:f t="array" ref="F37">LOOKUP(1,0/((WHSU6439229!D:D=B37)*(WHSU6439229!G:G&amp;WHSU6439229!F:F=C37)),WHSU6439229!C:C)</x:f>
        <x:v>#N/A</x:v>
      </x:c>
      <x:c r="G37" s="580" t="e" cm="1">
        <x:f t="array" ref="G37">LOOKUP(1,0/((WHSU6439229!D:D=B37)*(WHSU6439229!G:G&amp;WHSU6439229!F:F=C37)),WHSU6439229!K:K)</x:f>
        <x:v>#N/A</x:v>
      </x:c>
      <x:c r="H37" s="580" t="e" cm="1">
        <x:f t="array" ref="H37">LOOKUP(1,0/((WHSU6439229!D:D=B37)*(WHSU6439229!G:G&amp;WHSU6439229!F:F=C37)),WHSU6439229!J:J)</x:f>
        <x:v>#N/A</x:v>
      </x:c>
      <x:c r="I37" s="581" t="e">
        <x:f t="array" ref="I37">LOOKUP(1,0/((WHSU6439229!D:D=B37)*(WHSU6439229!G:G&amp;WHSU6439229!F:F=C37)),WHSU6439229!Z:Z)</x:f>
        <x:v>#N/A</x:v>
      </x:c>
      <x:c r="J37" s="582">
        <x:f t="shared" si="0"/>
        <x:v>6854.17</x:v>
      </x:c>
    </x:row>
    <x:row r="38" ht="40" customHeight="1">
      <x:c r="A38">
        <x:v>7</x:v>
      </x:c>
      <x:c r="B38" s="577" t="e" cm="1">
        <x:f t="array" ref="B38">LOOKUP(1,0/((WHSU6439229!V:V=$J$13)*(WHSU6439229!X:X=$J$9)*(WHSU6439229!A:A=A38)),WHSU6439229!D:D)</x:f>
        <x:v>#N/A</x:v>
      </x:c>
      <x:c r="C38" s="577" t="e" cm="1">
        <x:f t="array" ref="C38">LOOKUP(1,0/((WHSU6439229!V:V=$J$13)*(WHSU6439229!X:X=$J$9)*(WHSU6439229!A:A=A38)),WHSU6439229!G:G&amp;WHSU6439229!F:F)</x:f>
        <x:v>#N/A</x:v>
      </x:c>
      <x:c r="D38" s="577" t="e" cm="1">
        <x:f t="array" ref="D38">LOOKUP(1,0/((WHSU6439229!D:D=B38)*(WHSU6439229!G:G&amp;WHSU6439229!F:F=C38)),WHSU6439229!L:L)</x:f>
        <x:v>#N/A</x:v>
      </x:c>
      <x:c r="E38" s="578" t="e" cm="1">
        <x:f t="array" ref="E38">LOOKUP(1,0/((WHSU6439229!D:D=B38)*(WHSU6439229!G:G&amp;WHSU6439229!F:F=C38)),WHSU6439229!M:M)</x:f>
        <x:v>#N/A</x:v>
      </x:c>
      <x:c r="F38" s="579" t="e">
        <x:f t="array" ref="F38">LOOKUP(1,0/((WHSU6439229!D:D=B38)*(WHSU6439229!G:G&amp;WHSU6439229!F:F=C38)),WHSU6439229!C:C)</x:f>
        <x:v>#N/A</x:v>
      </x:c>
      <x:c r="G38" s="580" t="e" cm="1">
        <x:f t="array" ref="G38">LOOKUP(1,0/((WHSU6439229!D:D=B38)*(WHSU6439229!G:G&amp;WHSU6439229!F:F=C38)),WHSU6439229!K:K)</x:f>
        <x:v>#N/A</x:v>
      </x:c>
      <x:c r="H38" s="580" t="e" cm="1">
        <x:f t="array" ref="H38">LOOKUP(1,0/((WHSU6439229!D:D=B38)*(WHSU6439229!G:G&amp;WHSU6439229!F:F=C38)),WHSU6439229!J:J)</x:f>
        <x:v>#N/A</x:v>
      </x:c>
      <x:c r="I38" s="581" t="e">
        <x:f t="array" ref="I38">LOOKUP(1,0/((WHSU6439229!D:D=B38)*(WHSU6439229!G:G&amp;WHSU6439229!F:F=C38)),WHSU6439229!Z:Z)</x:f>
        <x:v>#N/A</x:v>
      </x:c>
      <x:c r="J38" s="582">
        <x:f t="shared" si="0"/>
        <x:v>4156.25</x:v>
      </x:c>
    </x:row>
    <x:row r="39" ht="40" customHeight="1">
      <x:c r="A39">
        <x:v>8</x:v>
      </x:c>
      <x:c r="B39" s="577" t="e" cm="1">
        <x:f t="array" ref="B39">LOOKUP(1,0/((WHSU6439229!V:V=$J$13)*(WHSU6439229!X:X=$J$9)*(WHSU6439229!A:A=A39)),WHSU6439229!D:D)</x:f>
        <x:v>#N/A</x:v>
      </x:c>
      <x:c r="C39" s="577" t="e" cm="1">
        <x:f t="array" ref="C39">LOOKUP(1,0/((WHSU6439229!V:V=$J$13)*(WHSU6439229!X:X=$J$9)*(WHSU6439229!A:A=A39)),WHSU6439229!G:G&amp;WHSU6439229!F:F)</x:f>
        <x:v>#N/A</x:v>
      </x:c>
      <x:c r="D39" s="577" t="e" cm="1">
        <x:f t="array" ref="D39">LOOKUP(1,0/((WHSU6439229!D:D=B39)*(WHSU6439229!G:G&amp;WHSU6439229!F:F=C39)),WHSU6439229!L:L)</x:f>
        <x:v>#N/A</x:v>
      </x:c>
      <x:c r="E39" s="578" t="e" cm="1">
        <x:f t="array" ref="E39">LOOKUP(1,0/((WHSU6439229!D:D=B39)*(WHSU6439229!G:G&amp;WHSU6439229!F:F=C39)),WHSU6439229!M:M)</x:f>
        <x:v>#N/A</x:v>
      </x:c>
      <x:c r="F39" s="579" t="e">
        <x:f t="array" ref="F39">LOOKUP(1,0/((WHSU6439229!D:D=B39)*(WHSU6439229!G:G&amp;WHSU6439229!F:F=C39)),WHSU6439229!C:C)</x:f>
        <x:v>#N/A</x:v>
      </x:c>
      <x:c r="G39" s="580" t="e" cm="1">
        <x:f t="array" ref="G39">LOOKUP(1,0/((WHSU6439229!D:D=B39)*(WHSU6439229!G:G&amp;WHSU6439229!F:F=C39)),WHSU6439229!K:K)</x:f>
        <x:v>#N/A</x:v>
      </x:c>
      <x:c r="H39" s="580" t="e" cm="1">
        <x:f t="array" ref="H39">LOOKUP(1,0/((WHSU6439229!D:D=B39)*(WHSU6439229!G:G&amp;WHSU6439229!F:F=C39)),WHSU6439229!J:J)</x:f>
        <x:v>#N/A</x:v>
      </x:c>
      <x:c r="I39" s="581" t="e">
        <x:f t="array" ref="I39">LOOKUP(1,0/((WHSU6439229!D:D=B39)*(WHSU6439229!G:G&amp;WHSU6439229!F:F=C39)),WHSU6439229!Z:Z)</x:f>
        <x:v>#N/A</x:v>
      </x:c>
      <x:c r="J39" s="582">
        <x:f t="shared" si="0"/>
        <x:v>6562.5</x:v>
      </x:c>
    </x:row>
    <x:row r="40" ht="40" customHeight="1">
      <x:c r="A40">
        <x:v>9</x:v>
      </x:c>
      <x:c r="B40" s="577" t="e" cm="1">
        <x:f t="array" ref="B40">LOOKUP(1,0/((WHSU6439229!V:V=$J$13)*(WHSU6439229!X:X=$J$9)*(WHSU6439229!A:A=A40)),WHSU6439229!D:D)</x:f>
        <x:v>#N/A</x:v>
      </x:c>
      <x:c r="C40" s="577" t="e" cm="1">
        <x:f t="array" ref="C40">LOOKUP(1,0/((WHSU6439229!V:V=$J$13)*(WHSU6439229!X:X=$J$9)*(WHSU6439229!A:A=A40)),WHSU6439229!G:G&amp;WHSU6439229!F:F)</x:f>
        <x:v>#N/A</x:v>
      </x:c>
      <x:c r="D40" s="577" t="e" cm="1">
        <x:f t="array" ref="D40">LOOKUP(1,0/((WHSU6439229!D:D=B40)*(WHSU6439229!G:G&amp;WHSU6439229!F:F=C40)),WHSU6439229!L:L)</x:f>
        <x:v>#N/A</x:v>
      </x:c>
      <x:c r="E40" s="578" t="e" cm="1">
        <x:f t="array" ref="E40">LOOKUP(1,0/((WHSU6439229!D:D=B40)*(WHSU6439229!G:G&amp;WHSU6439229!F:F=C40)),WHSU6439229!M:M)</x:f>
        <x:v>#N/A</x:v>
      </x:c>
      <x:c r="F40" s="579" t="e">
        <x:f t="array" ref="F40">LOOKUP(1,0/((WHSU6439229!D:D=B40)*(WHSU6439229!G:G&amp;WHSU6439229!F:F=C40)),WHSU6439229!C:C)</x:f>
        <x:v>#N/A</x:v>
      </x:c>
      <x:c r="G40" s="580" t="e" cm="1">
        <x:f t="array" ref="G40">LOOKUP(1,0/((WHSU6439229!D:D=B40)*(WHSU6439229!G:G&amp;WHSU6439229!F:F=C40)),WHSU6439229!K:K)</x:f>
        <x:v>#N/A</x:v>
      </x:c>
      <x:c r="H40" s="580" t="e" cm="1">
        <x:f t="array" ref="H40">LOOKUP(1,0/((WHSU6439229!D:D=B40)*(WHSU6439229!G:G&amp;WHSU6439229!F:F=C40)),WHSU6439229!J:J)</x:f>
        <x:v>#N/A</x:v>
      </x:c>
      <x:c r="I40" s="581" t="e">
        <x:f t="array" ref="I40">LOOKUP(1,0/((WHSU6439229!D:D=B40)*(WHSU6439229!G:G&amp;WHSU6439229!F:F=C40)),WHSU6439229!Z:Z)</x:f>
        <x:v>#N/A</x:v>
      </x:c>
      <x:c r="J40" s="582">
        <x:f t="shared" si="0"/>
        <x:v>8531.25</x:v>
      </x:c>
    </x:row>
    <x:row r="41" ht="40" customHeight="1">
      <x:c r="A41">
        <x:v>10</x:v>
      </x:c>
      <x:c r="B41" s="577" t="e" cm="1">
        <x:f t="array" ref="B41">LOOKUP(1,0/((WHSU6439229!V:V=$J$13)*(WHSU6439229!X:X=$J$9)*(WHSU6439229!A:A=A41)),WHSU6439229!D:D)</x:f>
        <x:v>#N/A</x:v>
      </x:c>
      <x:c r="C41" s="577" t="e" cm="1">
        <x:f t="array" ref="C41">LOOKUP(1,0/((WHSU6439229!V:V=$J$13)*(WHSU6439229!X:X=$J$9)*(WHSU6439229!A:A=A41)),WHSU6439229!G:G&amp;WHSU6439229!F:F)</x:f>
        <x:v>#N/A</x:v>
      </x:c>
      <x:c r="D41" s="577" t="e" cm="1">
        <x:f t="array" ref="D41">LOOKUP(1,0/((WHSU6439229!D:D=B41)*(WHSU6439229!G:G&amp;WHSU6439229!F:F=C41)),WHSU6439229!L:L)</x:f>
        <x:v>#N/A</x:v>
      </x:c>
      <x:c r="E41" s="578" t="e" cm="1">
        <x:f t="array" ref="E41">LOOKUP(1,0/((WHSU6439229!D:D=B41)*(WHSU6439229!G:G&amp;WHSU6439229!F:F=C41)),WHSU6439229!M:M)</x:f>
        <x:v>#N/A</x:v>
      </x:c>
      <x:c r="F41" s="579" t="e">
        <x:f t="array" ref="F41">LOOKUP(1,0/((WHSU6439229!D:D=B41)*(WHSU6439229!G:G&amp;WHSU6439229!F:F=C41)),WHSU6439229!C:C)</x:f>
        <x:v>#N/A</x:v>
      </x:c>
      <x:c r="G41" s="580" t="e" cm="1">
        <x:f t="array" ref="G41">LOOKUP(1,0/((WHSU6439229!D:D=B41)*(WHSU6439229!G:G&amp;WHSU6439229!F:F=C41)),WHSU6439229!K:K)</x:f>
        <x:v>#N/A</x:v>
      </x:c>
      <x:c r="H41" s="580" t="e" cm="1">
        <x:f t="array" ref="H41">LOOKUP(1,0/((WHSU6439229!D:D=B41)*(WHSU6439229!G:G&amp;WHSU6439229!F:F=C41)),WHSU6439229!J:J)</x:f>
        <x:v>#N/A</x:v>
      </x:c>
      <x:c r="I41" s="581" t="e">
        <x:f t="array" ref="I41">LOOKUP(1,0/((WHSU6439229!D:D=B41)*(WHSU6439229!G:G&amp;WHSU6439229!F:F=C41)),WHSU6439229!Z:Z)</x:f>
        <x:v>#N/A</x:v>
      </x:c>
      <x:c r="J41" s="582">
        <x:f t="shared" si="0"/>
        <x:v>6234.38</x:v>
      </x:c>
    </x:row>
    <x:row r="42" ht="40" customHeight="1">
      <x:c r="A42">
        <x:v>11</x:v>
      </x:c>
      <x:c r="B42" s="577" t="e" cm="1">
        <x:f t="array" ref="B42">LOOKUP(1,0/((WHSU6439229!V:V=$J$13)*(WHSU6439229!X:X=$J$9)*(WHSU6439229!A:A=A42)),WHSU6439229!D:D)</x:f>
        <x:v>#N/A</x:v>
      </x:c>
      <x:c r="C42" s="577" t="e" cm="1">
        <x:f t="array" ref="C42">LOOKUP(1,0/((WHSU6439229!V:V=$J$13)*(WHSU6439229!X:X=$J$9)*(WHSU6439229!A:A=A42)),WHSU6439229!G:G&amp;WHSU6439229!F:F)</x:f>
        <x:v>#N/A</x:v>
      </x:c>
      <x:c r="D42" s="577" t="e" cm="1">
        <x:f t="array" ref="D42">LOOKUP(1,0/((WHSU6439229!D:D=B42)*(WHSU6439229!G:G&amp;WHSU6439229!F:F=C42)),WHSU6439229!L:L)</x:f>
        <x:v>#N/A</x:v>
      </x:c>
      <x:c r="E42" s="578" t="e" cm="1">
        <x:f t="array" ref="E42">LOOKUP(1,0/((WHSU6439229!D:D=B42)*(WHSU6439229!G:G&amp;WHSU6439229!F:F=C42)),WHSU6439229!M:M)</x:f>
        <x:v>#N/A</x:v>
      </x:c>
      <x:c r="F42" s="579" t="e">
        <x:f t="array" ref="F42">LOOKUP(1,0/((WHSU6439229!D:D=B42)*(WHSU6439229!G:G&amp;WHSU6439229!F:F=C42)),WHSU6439229!C:C)</x:f>
        <x:v>#N/A</x:v>
      </x:c>
      <x:c r="G42" s="580" t="e" cm="1">
        <x:f t="array" ref="G42">LOOKUP(1,0/((WHSU6439229!D:D=B42)*(WHSU6439229!G:G&amp;WHSU6439229!F:F=C42)),WHSU6439229!K:K)</x:f>
        <x:v>#N/A</x:v>
      </x:c>
      <x:c r="H42" s="580" t="e" cm="1">
        <x:f t="array" ref="H42">LOOKUP(1,0/((WHSU6439229!D:D=B42)*(WHSU6439229!G:G&amp;WHSU6439229!F:F=C42)),WHSU6439229!J:J)</x:f>
        <x:v>#N/A</x:v>
      </x:c>
      <x:c r="I42" s="581" t="e">
        <x:f t="array" ref="I42">LOOKUP(1,0/((WHSU6439229!D:D=B42)*(WHSU6439229!G:G&amp;WHSU6439229!F:F=C42)),WHSU6439229!Z:Z)</x:f>
        <x:v>#N/A</x:v>
      </x:c>
      <x:c r="J42" s="582">
        <x:f t="shared" si="0"/>
        <x:v>4958.33</x:v>
      </x:c>
    </x:row>
    <x:row r="43" ht="40" customHeight="1">
      <x:c r="A43">
        <x:v>12</x:v>
      </x:c>
      <x:c r="B43" s="577" t="e" cm="1">
        <x:f t="array" ref="B43">LOOKUP(1,0/((WHSU6439229!V:V=$J$13)*(WHSU6439229!X:X=$J$9)*(WHSU6439229!A:A=A43)),WHSU6439229!D:D)</x:f>
        <x:v>#N/A</x:v>
      </x:c>
      <x:c r="C43" s="577" t="e" cm="1">
        <x:f t="array" ref="C43">LOOKUP(1,0/((WHSU6439229!V:V=$J$13)*(WHSU6439229!X:X=$J$9)*(WHSU6439229!A:A=A43)),WHSU6439229!G:G&amp;WHSU6439229!F:F)</x:f>
        <x:v>#N/A</x:v>
      </x:c>
      <x:c r="D43" s="577" t="e" cm="1">
        <x:f t="array" ref="D43">LOOKUP(1,0/((WHSU6439229!D:D=B43)*(WHSU6439229!G:G&amp;WHSU6439229!F:F=C43)),WHSU6439229!L:L)</x:f>
        <x:v>#N/A</x:v>
      </x:c>
      <x:c r="E43" s="578" t="e" cm="1">
        <x:f t="array" ref="E43">LOOKUP(1,0/((WHSU6439229!D:D=B43)*(WHSU6439229!G:G&amp;WHSU6439229!F:F=C43)),WHSU6439229!M:M)</x:f>
        <x:v>#N/A</x:v>
      </x:c>
      <x:c r="F43" s="579" t="e">
        <x:f t="array" ref="F43">LOOKUP(1,0/((WHSU6439229!D:D=B43)*(WHSU6439229!G:G&amp;WHSU6439229!F:F=C43)),WHSU6439229!C:C)</x:f>
        <x:v>#N/A</x:v>
      </x:c>
      <x:c r="G43" s="580" t="e" cm="1">
        <x:f t="array" ref="G43">LOOKUP(1,0/((WHSU6439229!D:D=B43)*(WHSU6439229!G:G&amp;WHSU6439229!F:F=C43)),WHSU6439229!K:K)</x:f>
        <x:v>#N/A</x:v>
      </x:c>
      <x:c r="H43" s="580" t="e" cm="1">
        <x:f t="array" ref="H43">LOOKUP(1,0/((WHSU6439229!D:D=B43)*(WHSU6439229!G:G&amp;WHSU6439229!F:F=C43)),WHSU6439229!J:J)</x:f>
        <x:v>#N/A</x:v>
      </x:c>
      <x:c r="I43" s="581" t="e">
        <x:f t="array" ref="I43">LOOKUP(1,0/((WHSU6439229!D:D=B43)*(WHSU6439229!G:G&amp;WHSU6439229!F:F=C43)),WHSU6439229!Z:Z)</x:f>
        <x:v>#N/A</x:v>
      </x:c>
      <x:c r="J43" s="582">
        <x:f t="shared" si="0"/>
        <x:v>6662.93</x:v>
      </x:c>
    </x:row>
    <x:row r="44" ht="40" customHeight="1">
      <x:c r="A44">
        <x:v>13</x:v>
      </x:c>
      <x:c r="B44" s="577" t="e" cm="1">
        <x:f t="array" ref="B44">LOOKUP(1,0/((WHSU6439229!V:V=$J$13)*(WHSU6439229!X:X=$J$9)*(WHSU6439229!A:A=A44)),WHSU6439229!D:D)</x:f>
        <x:v>#N/A</x:v>
      </x:c>
      <x:c r="C44" s="577" t="e" cm="1">
        <x:f t="array" ref="C44">LOOKUP(1,0/((WHSU6439229!V:V=$J$13)*(WHSU6439229!X:X=$J$9)*(WHSU6439229!A:A=A44)),WHSU6439229!G:G&amp;WHSU6439229!F:F)</x:f>
        <x:v>#N/A</x:v>
      </x:c>
      <x:c r="D44" s="577" t="e" cm="1">
        <x:f t="array" ref="D44">LOOKUP(1,0/((WHSU6439229!D:D=B44)*(WHSU6439229!G:G&amp;WHSU6439229!F:F=C44)),WHSU6439229!L:L)</x:f>
        <x:v>#N/A</x:v>
      </x:c>
      <x:c r="E44" s="578" t="e" cm="1">
        <x:f t="array" ref="E44">LOOKUP(1,0/((WHSU6439229!D:D=B44)*(WHSU6439229!G:G&amp;WHSU6439229!F:F=C44)),WHSU6439229!M:M)</x:f>
        <x:v>#N/A</x:v>
      </x:c>
      <x:c r="F44" s="579" t="e">
        <x:f t="array" ref="F44">LOOKUP(1,0/((WHSU6439229!D:D=B44)*(WHSU6439229!G:G&amp;WHSU6439229!F:F=C44)),WHSU6439229!C:C)</x:f>
        <x:v>#N/A</x:v>
      </x:c>
      <x:c r="G44" s="580" t="e" cm="1">
        <x:f t="array" ref="G44">LOOKUP(1,0/((WHSU6439229!D:D=B44)*(WHSU6439229!G:G&amp;WHSU6439229!F:F=C44)),WHSU6439229!K:K)</x:f>
        <x:v>#N/A</x:v>
      </x:c>
      <x:c r="H44" s="580" t="e" cm="1">
        <x:f t="array" ref="H44">LOOKUP(1,0/((WHSU6439229!D:D=B44)*(WHSU6439229!G:G&amp;WHSU6439229!F:F=C44)),WHSU6439229!J:J)</x:f>
        <x:v>#N/A</x:v>
      </x:c>
      <x:c r="I44" s="581" t="e">
        <x:f t="array" ref="I44">LOOKUP(1,0/((WHSU6439229!D:D=B44)*(WHSU6439229!G:G&amp;WHSU6439229!F:F=C44)),WHSU6439229!Z:Z)</x:f>
        <x:v>#N/A</x:v>
      </x:c>
      <x:c r="J44" s="582">
        <x:f t="shared" si="0"/>
        <x:v>6234.37</x:v>
      </x:c>
    </x:row>
    <x:row r="45" ht="40" customHeight="1">
      <x:c r="A45">
        <x:v>14</x:v>
      </x:c>
      <x:c r="B45" s="577" t="e" cm="1">
        <x:f t="array" ref="B45">LOOKUP(1,0/((WHSU6439229!V:V=$J$13)*(WHSU6439229!X:X=$J$9)*(WHSU6439229!A:A=A45)),WHSU6439229!D:D)</x:f>
        <x:v>#N/A</x:v>
      </x:c>
      <x:c r="C45" s="577" t="e" cm="1">
        <x:f t="array" ref="C45">LOOKUP(1,0/((WHSU6439229!V:V=$J$13)*(WHSU6439229!X:X=$J$9)*(WHSU6439229!A:A=A45)),WHSU6439229!G:G&amp;WHSU6439229!F:F)</x:f>
        <x:v>#N/A</x:v>
      </x:c>
      <x:c r="D45" s="577" t="e" cm="1">
        <x:f t="array" ref="D45">LOOKUP(1,0/((WHSU6439229!D:D=B45)*(WHSU6439229!G:G&amp;WHSU6439229!F:F=C45)),WHSU6439229!L:L)</x:f>
        <x:v>#N/A</x:v>
      </x:c>
      <x:c r="E45" s="578" t="e" cm="1">
        <x:f t="array" ref="E45">LOOKUP(1,0/((WHSU6439229!D:D=B45)*(WHSU6439229!G:G&amp;WHSU6439229!F:F=C45)),WHSU6439229!M:M)</x:f>
        <x:v>#N/A</x:v>
      </x:c>
      <x:c r="F45" s="579" t="e">
        <x:f t="array" ref="F45">LOOKUP(1,0/((WHSU6439229!D:D=B45)*(WHSU6439229!G:G&amp;WHSU6439229!F:F=C45)),WHSU6439229!C:C)</x:f>
        <x:v>#N/A</x:v>
      </x:c>
      <x:c r="G45" s="580" t="e" cm="1">
        <x:f t="array" ref="G45">LOOKUP(1,0/((WHSU6439229!D:D=B45)*(WHSU6439229!G:G&amp;WHSU6439229!F:F=C45)),WHSU6439229!K:K)</x:f>
        <x:v>#N/A</x:v>
      </x:c>
      <x:c r="H45" s="580" t="e" cm="1">
        <x:f t="array" ref="H45">LOOKUP(1,0/((WHSU6439229!D:D=B45)*(WHSU6439229!G:G&amp;WHSU6439229!F:F=C45)),WHSU6439229!J:J)</x:f>
        <x:v>#N/A</x:v>
      </x:c>
      <x:c r="I45" s="581" t="e">
        <x:f t="array" ref="I45">LOOKUP(1,0/((WHSU6439229!D:D=B45)*(WHSU6439229!G:G&amp;WHSU6439229!F:F=C45)),WHSU6439229!Z:Z)</x:f>
        <x:v>#N/A</x:v>
      </x:c>
      <x:c r="J45" s="582">
        <x:f t="shared" si="0"/>
        <x:v>6234.37</x:v>
      </x:c>
    </x:row>
    <x:row r="46" ht="40" customHeight="1">
      <x:c r="A46">
        <x:v>15</x:v>
      </x:c>
      <x:c r="B46" s="577" t="e" cm="1">
        <x:f t="array" ref="B46">LOOKUP(1,0/((WHSU6439229!V:V=$J$13)*(WHSU6439229!X:X=$J$9)*(WHSU6439229!A:A=A46)),WHSU6439229!D:D)</x:f>
        <x:v>#N/A</x:v>
      </x:c>
      <x:c r="C46" s="577" t="e" cm="1">
        <x:f t="array" ref="C46">LOOKUP(1,0/((WHSU6439229!V:V=$J$13)*(WHSU6439229!X:X=$J$9)*(WHSU6439229!A:A=A46)),WHSU6439229!G:G&amp;WHSU6439229!F:F)</x:f>
        <x:v>#N/A</x:v>
      </x:c>
      <x:c r="D46" s="577" t="e" cm="1">
        <x:f t="array" ref="D46">LOOKUP(1,0/((WHSU6439229!D:D=B46)*(WHSU6439229!G:G&amp;WHSU6439229!F:F=C46)),WHSU6439229!L:L)</x:f>
        <x:v>#N/A</x:v>
      </x:c>
      <x:c r="E46" s="578" t="e" cm="1">
        <x:f t="array" ref="E46">LOOKUP(1,0/((WHSU6439229!D:D=B46)*(WHSU6439229!G:G&amp;WHSU6439229!F:F=C46)),WHSU6439229!M:M)</x:f>
        <x:v>#N/A</x:v>
      </x:c>
      <x:c r="F46" s="579" t="e">
        <x:f t="array" ref="F46">LOOKUP(1,0/((WHSU6439229!D:D=B46)*(WHSU6439229!G:G&amp;WHSU6439229!F:F=C46)),WHSU6439229!C:C)</x:f>
        <x:v>#N/A</x:v>
      </x:c>
      <x:c r="G46" s="580" t="e" cm="1">
        <x:f t="array" ref="G46">LOOKUP(1,0/((WHSU6439229!D:D=B46)*(WHSU6439229!G:G&amp;WHSU6439229!F:F=C46)),WHSU6439229!K:K)</x:f>
        <x:v>#N/A</x:v>
      </x:c>
      <x:c r="H46" s="580" t="e" cm="1">
        <x:f t="array" ref="H46">LOOKUP(1,0/((WHSU6439229!D:D=B46)*(WHSU6439229!G:G&amp;WHSU6439229!F:F=C46)),WHSU6439229!J:J)</x:f>
        <x:v>#N/A</x:v>
      </x:c>
      <x:c r="I46" s="581" t="e">
        <x:f t="array" ref="I46">LOOKUP(1,0/((WHSU6439229!D:D=B46)*(WHSU6439229!G:G&amp;WHSU6439229!F:F=C46)),WHSU6439229!Z:Z)</x:f>
        <x:v>#N/A</x:v>
      </x:c>
      <x:c r="J46" s="582">
        <x:f t="shared" si="0"/>
        <x:v>6234.37</x:v>
      </x:c>
    </x:row>
    <x:row r="47" ht="40" customHeight="1">
      <x:c r="B47" s="577"/>
      <x:c r="C47" s="577"/>
      <x:c r="D47" s="577"/>
      <x:c r="E47" s="578"/>
      <x:c r="F47" s="579"/>
      <x:c r="G47" s="580"/>
      <x:c r="H47" s="580"/>
      <x:c r="I47" s="581"/>
      <x:c r="J47" s="582"/>
    </x:row>
    <x:row r="48" ht="26" customHeight="1">
      <x:c r="B48" s="701"/>
      <x:c r="C48" s="702"/>
      <x:c r="D48" s="702"/>
      <x:c r="E48" s="701"/>
      <x:c r="F48" s="701"/>
      <x:c r="G48" s="577" t="s">
        <x:v>167</x:v>
      </x:c>
      <x:c r="H48" s="703"/>
      <x:c r="I48" s="704" t="e">
        <x:f>SUM(J32:J47)</x:f>
        <x:v>#N/A</x:v>
      </x:c>
      <x:c r="J48" s="705"/>
    </x:row>
    <x:row r="49" ht="36">
      <x:c r="B49" s="706" t="s">
        <x:v>168</x:v>
      </x:c>
      <x:c r="C49" s="707" t="e">
        <x:f>I48</x:f>
        <x:v>#N/A</x:v>
      </x:c>
      <x:c r="D49" s="708"/>
      <x:c r="E49" s="708"/>
      <x:c r="F49" s="709"/>
      <x:c r="G49" s="710"/>
      <x:c r="H49" s="710"/>
      <x:c r="I49" s="710"/>
      <x:c r="J49" s="710"/>
    </x:row>
    <x:row r="50" s="654" customFormat="1" ht="16.5">
      <x:c r="A50" s="711"/>
      <x:c r="B50" s="712" t="s">
        <x:v>169</x:v>
      </x:c>
      <x:c r="C50" s="712"/>
      <x:c r="D50" s="712"/>
      <x:c r="E50" s="712"/>
      <x:c r="F50" s="711"/>
      <x:c r="G50" s="713" t="s">
        <x:v>170</x:v>
      </x:c>
      <x:c r="H50" s="713"/>
      <x:c r="I50" s="713"/>
      <x:c r="J50" s="713"/>
    </x:row>
    <x:row r="51" s="654" customFormat="1" ht="16.5">
      <x:c r="A51" s="711"/>
      <x:c r="B51" s="712"/>
      <x:c r="C51" s="712"/>
      <x:c r="D51" s="712"/>
      <x:c r="E51" s="712"/>
      <x:c r="F51" s="711"/>
      <x:c r="G51" s="713"/>
      <x:c r="H51" s="713"/>
      <x:c r="I51" s="713"/>
      <x:c r="J51" s="713"/>
    </x:row>
    <x:row r="52" s="654" customFormat="1" ht="16.5">
      <x:c r="A52" s="711"/>
      <x:c r="B52" s="712"/>
      <x:c r="C52" s="712"/>
      <x:c r="D52" s="712"/>
      <x:c r="E52" s="712"/>
      <x:c r="F52" s="711"/>
      <x:c r="G52" s="714" t="s">
        <x:v>171</x:v>
      </x:c>
      <x:c r="H52" s="714"/>
      <x:c r="I52" s="714"/>
      <x:c r="J52" s="714"/>
    </x:row>
    <x:row r="53" s="654" customFormat="1" ht="65" customHeight="1">
      <x:c r="A53" s="711"/>
      <x:c r="B53" s="712"/>
      <x:c r="C53" s="712"/>
      <x:c r="D53" s="712"/>
      <x:c r="E53" s="712"/>
      <x:c r="F53" s="711"/>
      <x:c r="G53" s="714"/>
      <x:c r="H53" s="714"/>
      <x:c r="I53" s="714"/>
      <x:c r="J53" s="714"/>
    </x:row>
    <x:row r="54" s="654" customFormat="1" ht="32" customHeight="1">
      <x:c r="A54" s="711"/>
      <x:c r="B54" s="712"/>
      <x:c r="C54" s="712"/>
      <x:c r="D54" s="712"/>
      <x:c r="E54" s="712"/>
      <x:c r="F54" s="711"/>
      <x:c r="G54" s="714"/>
      <x:c r="H54" s="714"/>
      <x:c r="I54" s="714"/>
      <x:c r="J54" s="714"/>
    </x:row>
    <x:row r="55" s="654" customFormat="1" ht="16.5">
      <x:c r="A55" s="711"/>
      <x:c r="B55" s="712"/>
      <x:c r="C55" s="712"/>
      <x:c r="D55" s="712"/>
      <x:c r="E55" s="711"/>
      <x:c r="F55" s="714"/>
      <x:c r="G55" s="714"/>
      <x:c r="H55" s="714"/>
      <x:c r="I55" s="714"/>
    </x:row>
    <x:row r="56" ht="30">
      <x:c r="A56" s="655"/>
      <x:c r="B56" s="656" t="s">
        <x:v>73</x:v>
      </x:c>
      <x:c r="C56" s="656"/>
      <x:c r="D56" s="656"/>
      <x:c r="E56" s="656"/>
      <x:c r="F56" s="656"/>
      <x:c r="G56" s="656"/>
      <x:c r="H56" s="656"/>
      <x:c r="I56" s="656"/>
    </x:row>
    <x:row r="57" ht="24" customHeight="1">
      <x:c r="A57" s="657"/>
      <x:c r="B57" s="658" t="s">
        <x:v>79</x:v>
      </x:c>
      <x:c r="C57" s="658"/>
      <x:c r="D57" s="658"/>
      <x:c r="E57" s="658"/>
      <x:c r="F57" s="658"/>
      <x:c r="G57" s="658"/>
      <x:c r="H57" s="658"/>
      <x:c r="I57" s="658"/>
    </x:row>
    <x:row r="58" ht="35" customHeight="1">
      <x:c r="A58" s="659"/>
      <x:c r="B58" s="660" t="s">
        <x:v>137</x:v>
      </x:c>
      <x:c r="C58" s="660"/>
      <x:c r="D58" s="660"/>
      <x:c r="E58" s="660"/>
      <x:c r="F58" s="660"/>
      <x:c r="G58" s="660"/>
      <x:c r="H58" s="660"/>
      <x:c r="I58" s="660"/>
    </x:row>
    <x:row r="59" ht="18">
      <x:c r="A59" s="659"/>
      <x:c r="B59" s="660" t="s">
        <x:v>138</x:v>
      </x:c>
      <x:c r="C59" s="660"/>
      <x:c r="D59" s="660"/>
      <x:c r="E59" s="660"/>
      <x:c r="F59" s="660"/>
      <x:c r="G59" s="660"/>
      <x:c r="H59" s="660"/>
      <x:c r="I59" s="660"/>
    </x:row>
    <x:row r="60" ht="25.5">
      <x:c r="A60" s="661"/>
      <x:c r="B60" s="662" t="s">
        <x:v>139</x:v>
      </x:c>
      <x:c r="C60" s="662"/>
      <x:c r="D60" s="662"/>
      <x:c r="E60" s="662"/>
      <x:c r="F60" s="662"/>
      <x:c r="G60" s="662"/>
      <x:c r="H60" s="662"/>
      <x:c r="I60" s="662"/>
    </x:row>
    <x:row r="61" ht="21.75">
      <x:c r="A61" s="663"/>
      <x:c r="B61" s="664" t="s">
        <x:v>140</x:v>
      </x:c>
      <x:c r="C61" s="664"/>
      <x:c r="D61" s="664"/>
      <x:c r="E61" s="664"/>
      <x:c r="F61" s="664"/>
      <x:c r="G61" s="664"/>
      <x:c r="H61" s="664"/>
      <x:c r="I61" s="664"/>
    </x:row>
    <x:row r="62" ht="18">
      <x:c r="A62" s="665"/>
      <x:c r="B62" s="666"/>
      <x:c r="C62" s="666"/>
      <x:c r="D62" s="666"/>
      <x:c r="E62" s="666"/>
      <x:c r="F62" s="666"/>
      <x:c r="G62" s="666"/>
      <x:c r="H62" s="666"/>
      <x:c r="I62" s="666"/>
    </x:row>
    <x:row r="63" ht="18">
      <x:c r="A63" s="542"/>
      <x:c r="B63" s="541" t="s">
        <x:v>141</x:v>
      </x:c>
      <x:c r="C63" s="541"/>
      <x:c r="D63" s="541"/>
      <x:c r="E63" s="541"/>
      <x:c r="F63" s="541"/>
      <x:c r="G63" s="667"/>
      <x:c r="H63" s="667"/>
      <x:c r="I63" s="667"/>
    </x:row>
    <x:row r="64" ht="33">
      <x:c r="A64" s="668"/>
      <x:c r="B64" s="544" t="s">
        <x:v>142</x:v>
      </x:c>
      <x:c r="C64" s="544"/>
      <x:c r="D64" s="544"/>
      <x:c r="E64" s="544"/>
      <x:c r="F64" s="544"/>
      <x:c r="G64"/>
      <x:c r="H64" s="669"/>
      <x:c r="I64" s="669" t="s">
        <x:v>143</x:v>
      </x:c>
      <x:c r="J64" s="670" t="s">
        <x:v>172</x:v>
      </x:c>
    </x:row>
    <x:row r="65" ht="18">
      <x:c r="A65" s="671"/>
      <x:c r="B65" s="672" t="s">
        <x:v>73</x:v>
      </x:c>
      <x:c r="C65" s="672"/>
      <x:c r="D65" s="672"/>
      <x:c r="E65" s="672"/>
      <x:c r="F65" s="672"/>
      <x:c r="G65"/>
      <x:c r="H65" s="669"/>
      <x:c r="I65" s="669"/>
      <x:c r="J65" s="673"/>
    </x:row>
    <x:row r="66" ht="46" customHeight="1">
      <x:c r="A66" s="542"/>
      <x:c r="B66" s="541" t="s">
        <x:v>145</x:v>
      </x:c>
      <x:c r="C66" s="541"/>
      <x:c r="D66" s="541"/>
      <x:c r="E66" s="541"/>
      <x:c r="F66" s="542"/>
      <x:c r="G66"/>
      <x:c r="H66" s="674"/>
      <x:c r="I66" s="674" t="s">
        <x:v>146</x:v>
      </x:c>
      <x:c r="J66" s="675" t="e">
        <x:f>J11</x:f>
        <x:v>#NAME?</x:v>
      </x:c>
    </x:row>
    <x:row r="67" ht="28" customHeight="1">
      <x:c r="A67" s="542"/>
      <x:c r="B67" s="541"/>
      <x:c r="C67" s="541"/>
      <x:c r="D67" s="541"/>
      <x:c r="E67" s="541"/>
      <x:c r="F67" s="542"/>
      <x:c r="G67"/>
      <x:c r="H67" s="674"/>
      <x:c r="I67" s="674"/>
      <x:c r="J67" s="676"/>
    </x:row>
    <x:row r="68" ht="33">
      <x:c r="A68" s="668"/>
      <x:c r="B68" s="544" t="s">
        <x:v>147</x:v>
      </x:c>
      <x:c r="C68" s="544"/>
      <x:c r="D68" s="544"/>
      <x:c r="E68" s="544"/>
      <x:c r="F68" s="544"/>
      <x:c r="G68"/>
      <x:c r="H68" s="677"/>
      <x:c r="I68" s="677" t="s">
        <x:v>148</x:v>
      </x:c>
      <x:c r="J68" s="670" t="e">
        <x:f>全球合同!H59</x:f>
        <x:v>#NAME?</x:v>
      </x:c>
    </x:row>
    <x:row r="69" ht="18">
      <x:c r="A69" s="542"/>
      <x:c r="B69" s="541" t="s">
        <x:v>91</x:v>
      </x:c>
      <x:c r="C69" s="541"/>
      <x:c r="D69" s="542"/>
      <x:c r="E69" s="542"/>
      <x:c r="F69" s="542"/>
      <x:c r="G69"/>
      <x:c r="H69" s="677"/>
      <x:c r="I69" s="677"/>
      <x:c r="J69" s="673"/>
    </x:row>
    <x:row r="70" ht="25" customHeight="1">
      <x:c r="A70" s="668"/>
      <x:c r="B70" s="544" t="s">
        <x:v>92</x:v>
      </x:c>
      <x:c r="C70" s="544"/>
      <x:c r="D70" s="544"/>
      <x:c r="E70" s="544"/>
      <x:c r="F70" s="544"/>
      <x:c r="G70"/>
      <x:c r="H70" s="678"/>
      <x:c r="I70" s="678"/>
      <x:c r="J70" s="679"/>
    </x:row>
    <x:row r="71" ht="18">
      <x:c r="A71" s="668"/>
      <x:c r="B71" s="544"/>
      <x:c r="C71" s="544"/>
      <x:c r="D71" s="544"/>
      <x:c r="E71" s="544"/>
      <x:c r="F71" s="544"/>
      <x:c r="G71"/>
      <x:c r="H71" s="674"/>
      <x:c r="I71" s="674" t="s">
        <x:v>149</x:v>
      </x:c>
      <x:c r="J71" s="680" t="s">
        <x:v>150</x:v>
      </x:c>
    </x:row>
    <x:row r="72" ht="18">
      <x:c r="A72" s="548"/>
      <x:c r="B72" s="547" t="s">
        <x:v>151</x:v>
      </x:c>
      <x:c r="C72" s="548"/>
      <x:c r="D72" s="548"/>
      <x:c r="E72" s="549"/>
      <x:c r="F72" s="550"/>
      <x:c r="G72"/>
      <x:c r="H72" s="674"/>
      <x:c r="I72" s="674"/>
      <x:c r="J72" s="681"/>
    </x:row>
    <x:row r="73" ht="18">
      <x:c r="A73" s="548"/>
      <x:c r="B73" s="547" t="s">
        <x:v>152</x:v>
      </x:c>
      <x:c r="C73" s="548"/>
      <x:c r="D73" s="552"/>
      <x:c r="E73" s="549"/>
      <x:c r="F73" s="550"/>
      <x:c r="G73" s="674"/>
      <x:c r="H73" s="680"/>
      <x:c r="I73" s="715"/>
    </x:row>
    <x:row r="74" ht="18">
      <x:c r="A74" s="548"/>
      <x:c r="B74" s="544" t="s">
        <x:v>94</x:v>
      </x:c>
      <x:c r="C74" s="544"/>
      <x:c r="D74" s="544"/>
      <x:c r="E74" s="544"/>
      <x:c r="F74" s="544"/>
      <x:c r="G74" s="674"/>
      <x:c r="H74" s="680"/>
      <x:c r="I74" s="715"/>
    </x:row>
    <x:row r="75" ht="18">
      <x:c r="A75" s="548"/>
      <x:c r="B75" s="546" t="s">
        <x:v>153</x:v>
      </x:c>
      <x:c r="C75" s="557"/>
      <x:c r="D75" s="557"/>
      <x:c r="E75" s="557"/>
      <x:c r="F75" s="557"/>
      <x:c r="G75" s="682"/>
      <x:c r="H75" s="683"/>
      <x:c r="I75" s="683"/>
    </x:row>
    <x:row r="76" ht="18">
      <x:c r="A76" s="668"/>
      <x:c r="B76" s="544" t="s">
        <x:v>154</x:v>
      </x:c>
      <x:c r="C76" s="544"/>
      <x:c r="D76" s="544"/>
      <x:c r="E76" s="544"/>
      <x:c r="F76" s="544"/>
      <x:c r="G76" s="682"/>
      <x:c r="H76" s="683"/>
      <x:c r="I76" s="683"/>
    </x:row>
    <x:row r="77" ht="18">
      <x:c r="A77" s="557"/>
      <x:c r="B77" s="557" t="s">
        <x:v>155</x:v>
      </x:c>
      <x:c r="C77" s="557"/>
      <x:c r="D77" s="557"/>
      <x:c r="E77" s="557"/>
      <x:c r="F77" s="557"/>
      <x:c r="G77" s="682"/>
      <x:c r="H77" s="683"/>
      <x:c r="I77" s="683"/>
    </x:row>
    <x:row r="78" ht="18">
      <x:c r="A78" s="548"/>
      <x:c r="B78" s="547" t="s">
        <x:v>125</x:v>
      </x:c>
      <x:c r="C78" s="552"/>
      <x:c r="D78" s="684"/>
      <x:c r="E78" s="684"/>
      <x:c r="F78" s="685"/>
      <x:c r="G78" s="682"/>
      <x:c r="H78" s="683"/>
      <x:c r="I78" s="683"/>
    </x:row>
    <x:row r="79" ht="27" customHeight="1">
      <x:c r="A79" s="548"/>
      <x:c r="B79" s="668" t="s">
        <x:v>126</x:v>
      </x:c>
      <x:c r="C79" s="548"/>
      <x:c r="D79" s="552"/>
      <x:c r="E79" s="684"/>
      <x:c r="F79" s="685"/>
      <x:c r="G79" s="682"/>
      <x:c r="H79" s="683"/>
      <x:c r="I79" s="683"/>
    </x:row>
    <x:row r="80" s="653" customFormat="1" ht="28" customHeight="1">
      <x:c r="A80" s="542"/>
      <x:c r="B80" s="541" t="s">
        <x:v>127</x:v>
      </x:c>
      <x:c r="C80" s="541"/>
      <x:c r="D80" s="541"/>
      <x:c r="E80" s="541"/>
      <x:c r="F80" s="541"/>
      <x:c r="G80" s="686"/>
      <x:c r="H80" s="686"/>
      <x:c r="I80" s="686"/>
    </x:row>
    <x:row r="81" s="653" customFormat="1" ht="50" customHeight="1">
      <x:c r="A81" s="542"/>
      <x:c r="B81" s="541"/>
      <x:c r="C81" s="541"/>
      <x:c r="D81" s="541"/>
      <x:c r="E81" s="541"/>
      <x:c r="F81" s="541"/>
      <x:c r="G81" s="686"/>
      <x:c r="H81" s="686"/>
      <x:c r="I81" s="686"/>
    </x:row>
    <x:row r="82" ht="31.5">
      <x:c r="B82" s="571" t="s">
        <x:v>157</x:v>
      </x:c>
      <x:c r="C82" s="690" t="s">
        <x:v>158</x:v>
      </x:c>
      <x:c r="D82" s="691"/>
      <x:c r="E82" s="692"/>
      <x:c r="F82" s="1"/>
      <x:c r="G82" s="570" t="s">
        <x:v>159</x:v>
      </x:c>
      <x:c r="H82" s="694"/>
      <x:c r="I82" s="694" t="s">
        <x:v>160</x:v>
      </x:c>
      <x:c r="J82" s="695"/>
    </x:row>
    <x:row r="83" ht="31.5">
      <x:c r="B83" s="571" t="s">
        <x:v>161</x:v>
      </x:c>
      <x:c r="C83" s="571" t="s">
        <x:v>162</x:v>
      </x:c>
      <x:c r="D83" s="570" t="s">
        <x:v>163</x:v>
      </x:c>
      <x:c r="E83" s="571" t="s">
        <x:v>28</x:v>
      </x:c>
      <x:c r="F83" s="361" t="s">
        <x:v>164</x:v>
      </x:c>
      <x:c r="G83" s="570" t="s">
        <x:v>163</x:v>
      </x:c>
      <x:c r="H83" s="571" t="s">
        <x:v>28</x:v>
      </x:c>
      <x:c r="I83" s="571" t="s">
        <x:v>165</x:v>
      </x:c>
      <x:c r="J83" s="571" t="s">
        <x:v>166</x:v>
      </x:c>
    </x:row>
    <x:row r="84" ht="18">
      <x:c r="B84" s="696"/>
      <x:c r="C84" s="697"/>
      <x:c r="D84" s="696"/>
      <x:c r="E84" s="696"/>
      <x:c r="F84" s="696"/>
      <x:c r="G84" s="696"/>
      <x:c r="H84" s="699"/>
      <x:c r="I84" s="699" t="s">
        <x:v>129</x:v>
      </x:c>
      <x:c r="J84" s="700"/>
    </x:row>
    <x:row r="85" ht="48" customHeight="1">
      <x:c r="A85">
        <x:v>34</x:v>
      </x:c>
      <x:c r="B85" s="577" t="e" cm="1">
        <x:f t="array" ref="B85">LOOKUP(1,0/((WHSU6439229!V:V=$J$68)*(WHSU6439229!X:X=$J$64)*(WHSU6439229!A:A=A85)),WHSU6439229!D:D)</x:f>
        <x:v>#N/A</x:v>
      </x:c>
      <x:c r="C85" s="577" t="e" cm="1">
        <x:f t="array" ref="C85">LOOKUP(1,0/((WHSU6439229!V:V=$J$68)*(WHSU6439229!X:X=$J$64)*(WHSU6439229!A:A=A85)),WHSU6439229!G:G&amp;WHSU6439229!F:F)</x:f>
        <x:v>#N/A</x:v>
      </x:c>
      <x:c r="D85" s="577" t="e" cm="1">
        <x:f t="array" ref="D85">LOOKUP(1,0/((WHSU6439229!D:D=B85)*(WHSU6439229!G:G&amp;WHSU6439229!F:F=C85)),WHSU6439229!L:L)</x:f>
        <x:v>#N/A</x:v>
      </x:c>
      <x:c r="E85" s="578" t="e" cm="1">
        <x:f t="array" ref="E85">LOOKUP(1,0/((WHSU6439229!D:D=B85)*(WHSU6439229!G:G&amp;WHSU6439229!F:F=C85)),WHSU6439229!M:M)</x:f>
        <x:v>#N/A</x:v>
      </x:c>
      <x:c r="F85" s="579" t="e">
        <x:f t="array" ref="F85">LOOKUP(1,0/((WHSU6439229!D:D=B85)*(WHSU6439229!G:G&amp;WHSU6439229!F:F=C85)),WHSU6439229!C:C)</x:f>
        <x:v>#N/A</x:v>
      </x:c>
      <x:c r="G85" s="580" t="e" cm="1">
        <x:f t="array" ref="G85">LOOKUP(1,0/((WHSU6439229!D:D=B85)*(WHSU6439229!G:G&amp;WHSU6439229!F:F=C85)),WHSU6439229!K:K)</x:f>
        <x:v>#N/A</x:v>
      </x:c>
      <x:c r="H85" s="580" t="e" cm="1">
        <x:f t="array" ref="H85">LOOKUP(1,0/((WHSU6439229!D:D=B85)*(WHSU6439229!G:G&amp;WHSU6439229!F:F=C85)),WHSU6439229!J:J)</x:f>
        <x:v>#N/A</x:v>
      </x:c>
      <x:c r="I85" s="581" t="e">
        <x:f t="array" ref="I85">LOOKUP(1,0/((WHSU6439229!D:D=B85)*(WHSU6439229!G:G&amp;WHSU6439229!F:F=C85)),WHSU6439229!Z:Z)</x:f>
        <x:v>#N/A</x:v>
      </x:c>
      <x:c r="J85" s="582" t="e">
        <x:f>I85*G85</x:f>
        <x:v>#N/A</x:v>
      </x:c>
    </x:row>
    <x:row r="86" ht="47" customHeight="1">
      <x:c r="B86" s="577"/>
      <x:c r="C86" s="577"/>
      <x:c r="D86" s="577"/>
      <x:c r="E86" s="578"/>
      <x:c r="F86" s="579"/>
      <x:c r="G86" s="580"/>
      <x:c r="H86" s="580"/>
      <x:c r="I86" s="581"/>
      <x:c r="J86" s="582"/>
    </x:row>
    <x:row r="87" ht="47" customHeight="1">
      <x:c r="B87" s="577"/>
      <x:c r="C87" s="577"/>
      <x:c r="D87" s="577"/>
      <x:c r="E87" s="578"/>
      <x:c r="F87" s="579"/>
      <x:c r="G87" s="580"/>
      <x:c r="H87" s="580"/>
      <x:c r="I87" s="581"/>
      <x:c r="J87" s="582"/>
    </x:row>
    <x:row r="88" ht="50" customHeight="1">
      <x:c r="B88" s="577"/>
      <x:c r="C88" s="577"/>
      <x:c r="D88" s="577"/>
      <x:c r="E88" s="578"/>
      <x:c r="F88" s="579"/>
      <x:c r="G88" s="580"/>
      <x:c r="H88" s="580"/>
      <x:c r="I88" s="581"/>
      <x:c r="J88" s="582"/>
    </x:row>
    <x:row r="89" ht="31" customHeight="1">
      <x:c r="B89" s="577"/>
      <x:c r="C89" s="577"/>
      <x:c r="D89" s="578"/>
      <x:c r="E89" s="579"/>
      <x:c r="F89" s="1"/>
      <x:c r="G89" s="580"/>
      <x:c r="H89" s="581"/>
      <x:c r="I89" s="581"/>
      <x:c r="J89" s="582"/>
    </x:row>
    <x:row r="90" ht="31" customHeight="1">
      <x:c r="B90" s="577"/>
      <x:c r="C90" s="577"/>
      <x:c r="D90" s="578"/>
      <x:c r="E90" s="579"/>
      <x:c r="F90" s="1"/>
      <x:c r="G90" s="580"/>
      <x:c r="H90" s="581"/>
      <x:c r="I90" s="581"/>
      <x:c r="J90" s="582"/>
    </x:row>
    <x:row r="91" ht="18">
      <x:c r="A91" s="542"/>
      <x:c r="B91" s="701"/>
      <x:c r="C91" s="702"/>
      <x:c r="D91" s="701"/>
      <x:c r="E91" s="701"/>
      <x:c r="F91" s="1"/>
      <x:c r="G91" s="577" t="s">
        <x:v>167</x:v>
      </x:c>
      <x:c r="H91" s="704"/>
      <x:c r="I91" s="704" t="e">
        <x:f>SUM(J85:J90)</x:f>
        <x:v>#N/A</x:v>
      </x:c>
      <x:c r="J91" s="705"/>
    </x:row>
    <x:row r="92" ht="36">
      <x:c r="A92" s="668"/>
      <x:c r="B92" s="706" t="s">
        <x:v>168</x:v>
      </x:c>
      <x:c r="C92" s="707" t="e">
        <x:f>I91</x:f>
        <x:v>#N/A</x:v>
      </x:c>
      <x:c r="D92" s="708"/>
      <x:c r="E92" s="709"/>
      <x:c r="F92" s="1"/>
      <x:c r="G92" s="710"/>
      <x:c r="H92" s="716"/>
      <x:c r="I92" s="716"/>
      <x:c r="J92" s="716"/>
    </x:row>
    <x:row r="93" ht="18">
      <x:c r="A93" s="668"/>
      <x:c r="B93" s="680"/>
      <x:c r="C93" s="717"/>
      <x:c r="D93" s="717"/>
      <x:c r="E93" s="717"/>
      <x:c r="F93" s="718"/>
      <x:c r="G93" s="719"/>
      <x:c r="H93" s="719"/>
      <x:c r="I93" s="719"/>
    </x:row>
    <x:row r="94" ht="18">
      <x:c r="B94" s="680"/>
      <x:c r="C94" s="717"/>
      <x:c r="D94" s="717"/>
      <x:c r="E94" s="717"/>
      <x:c r="F94" s="717"/>
      <x:c r="G94" s="718"/>
      <x:c r="H94" s="717"/>
      <x:c r="I94" s="718"/>
      <x:c r="J94" s="718"/>
    </x:row>
    <x:row r="95" ht="30">
      <x:c r="A95" s="655"/>
      <x:c r="B95" s="656" t="s">
        <x:v>73</x:v>
      </x:c>
      <x:c r="C95" s="656"/>
      <x:c r="D95" s="656"/>
      <x:c r="E95" s="656"/>
      <x:c r="F95" s="656"/>
      <x:c r="G95" s="656"/>
      <x:c r="H95" s="656"/>
      <x:c r="I95" s="656"/>
      <x:c r="J95" s="656"/>
    </x:row>
    <x:row r="96" ht="24" customHeight="1">
      <x:c r="A96" s="657"/>
      <x:c r="B96" s="658" t="s">
        <x:v>79</x:v>
      </x:c>
      <x:c r="C96" s="658"/>
      <x:c r="D96" s="658"/>
      <x:c r="E96" s="658"/>
      <x:c r="F96" s="658"/>
      <x:c r="G96" s="658"/>
      <x:c r="H96" s="658"/>
      <x:c r="I96" s="658"/>
      <x:c r="J96" s="658"/>
    </x:row>
    <x:row r="97" ht="35" customHeight="1">
      <x:c r="A97" s="659"/>
      <x:c r="B97" s="660" t="s">
        <x:v>137</x:v>
      </x:c>
      <x:c r="C97" s="660"/>
      <x:c r="D97" s="660"/>
      <x:c r="E97" s="660"/>
      <x:c r="F97" s="660"/>
      <x:c r="G97" s="660"/>
      <x:c r="H97" s="660"/>
      <x:c r="I97" s="660"/>
      <x:c r="J97" s="660"/>
    </x:row>
    <x:row r="98" ht="18">
      <x:c r="A98" s="659"/>
      <x:c r="B98" s="660" t="s">
        <x:v>138</x:v>
      </x:c>
      <x:c r="C98" s="660"/>
      <x:c r="D98" s="660"/>
      <x:c r="E98" s="660"/>
      <x:c r="F98" s="660"/>
      <x:c r="G98" s="660"/>
      <x:c r="H98" s="660"/>
      <x:c r="I98" s="660"/>
      <x:c r="J98" s="660"/>
    </x:row>
    <x:row r="99" ht="25.5">
      <x:c r="A99" s="661"/>
      <x:c r="B99" s="662" t="s">
        <x:v>139</x:v>
      </x:c>
      <x:c r="C99" s="662"/>
      <x:c r="D99" s="662"/>
      <x:c r="E99" s="662"/>
      <x:c r="F99" s="662"/>
      <x:c r="G99" s="662"/>
      <x:c r="H99" s="662"/>
      <x:c r="I99" s="662"/>
      <x:c r="J99" s="662"/>
    </x:row>
    <x:row r="100" ht="21.75">
      <x:c r="A100" s="663"/>
      <x:c r="B100" s="664" t="s">
        <x:v>140</x:v>
      </x:c>
      <x:c r="C100" s="664"/>
      <x:c r="D100" s="664"/>
      <x:c r="E100" s="664"/>
      <x:c r="F100" s="664"/>
      <x:c r="G100" s="664"/>
      <x:c r="H100" s="664"/>
      <x:c r="I100" s="664"/>
      <x:c r="J100" s="664"/>
    </x:row>
    <x:row r="101" ht="18">
      <x:c r="A101" s="665"/>
      <x:c r="B101" s="666"/>
      <x:c r="C101" s="666"/>
      <x:c r="D101" s="666"/>
      <x:c r="E101" s="666"/>
      <x:c r="F101" s="666"/>
      <x:c r="G101" s="666"/>
      <x:c r="H101" s="666"/>
      <x:c r="I101" s="666"/>
      <x:c r="J101" s="666"/>
    </x:row>
    <x:row r="102" ht="18">
      <x:c r="A102" s="542"/>
      <x:c r="B102" s="541" t="s">
        <x:v>141</x:v>
      </x:c>
      <x:c r="C102" s="541"/>
      <x:c r="D102" s="541"/>
      <x:c r="E102" s="541"/>
      <x:c r="F102" s="541"/>
      <x:c r="G102" s="541"/>
      <x:c r="H102" s="541"/>
      <x:c r="I102" s="667"/>
      <x:c r="J102" s="667"/>
    </x:row>
    <x:row r="103" ht="33">
      <x:c r="A103" s="668"/>
      <x:c r="B103" s="544" t="s">
        <x:v>142</x:v>
      </x:c>
      <x:c r="C103" s="544"/>
      <x:c r="D103" s="544"/>
      <x:c r="E103" s="544"/>
      <x:c r="F103" s="544"/>
      <x:c r="G103" s="544"/>
      <x:c r="H103" s="544"/>
      <x:c r="I103" s="669" t="s">
        <x:v>143</x:v>
      </x:c>
      <x:c r="J103" s="670" t="s">
        <x:v>173</x:v>
      </x:c>
    </x:row>
    <x:row r="104" ht="18">
      <x:c r="A104" s="671"/>
      <x:c r="B104" s="672" t="s">
        <x:v>73</x:v>
      </x:c>
      <x:c r="C104" s="672"/>
      <x:c r="D104" s="672"/>
      <x:c r="E104" s="672"/>
      <x:c r="F104" s="672"/>
      <x:c r="G104" s="672"/>
      <x:c r="H104" s="672"/>
      <x:c r="I104" s="669"/>
      <x:c r="J104" s="673"/>
    </x:row>
    <x:row r="105" ht="46" customHeight="1">
      <x:c r="A105" s="542"/>
      <x:c r="B105" s="541" t="s">
        <x:v>145</x:v>
      </x:c>
      <x:c r="C105" s="541"/>
      <x:c r="D105" s="541"/>
      <x:c r="E105" s="541"/>
      <x:c r="F105" s="541"/>
      <x:c r="G105" s="542"/>
      <x:c r="H105" s="541"/>
      <x:c r="I105" s="674" t="s">
        <x:v>146</x:v>
      </x:c>
      <x:c r="J105" s="675" t="e">
        <x:f>J11</x:f>
        <x:v>#NAME?</x:v>
      </x:c>
    </x:row>
    <x:row r="106" ht="28" customHeight="1">
      <x:c r="A106" s="542"/>
      <x:c r="B106" s="541"/>
      <x:c r="C106" s="541"/>
      <x:c r="D106" s="541"/>
      <x:c r="E106" s="541"/>
      <x:c r="F106" s="541"/>
      <x:c r="G106" s="542"/>
      <x:c r="H106" s="541"/>
      <x:c r="I106" s="674"/>
      <x:c r="J106" s="676"/>
    </x:row>
    <x:row r="107" ht="33">
      <x:c r="A107" s="668"/>
      <x:c r="B107" s="544" t="s">
        <x:v>147</x:v>
      </x:c>
      <x:c r="C107" s="544"/>
      <x:c r="D107" s="544"/>
      <x:c r="E107" s="544"/>
      <x:c r="F107" s="544"/>
      <x:c r="G107" s="544"/>
      <x:c r="H107" s="544"/>
      <x:c r="I107" s="677" t="s">
        <x:v>148</x:v>
      </x:c>
      <x:c r="J107" s="670" t="e">
        <x:f>全球合同!H101</x:f>
        <x:v>#NAME?</x:v>
      </x:c>
    </x:row>
    <x:row r="108" ht="18">
      <x:c r="A108" s="542"/>
      <x:c r="B108" s="541" t="s">
        <x:v>91</x:v>
      </x:c>
      <x:c r="C108" s="541"/>
      <x:c r="D108" s="541"/>
      <x:c r="E108" s="542"/>
      <x:c r="F108" s="542"/>
      <x:c r="G108" s="542"/>
      <x:c r="H108" s="542"/>
      <x:c r="I108" s="677"/>
      <x:c r="J108" s="673"/>
    </x:row>
    <x:row r="109" ht="25" customHeight="1">
      <x:c r="A109" s="668"/>
      <x:c r="B109" s="544" t="s">
        <x:v>92</x:v>
      </x:c>
      <x:c r="C109" s="544"/>
      <x:c r="D109" s="544"/>
      <x:c r="E109" s="544"/>
      <x:c r="F109" s="544"/>
      <x:c r="G109" s="544"/>
      <x:c r="H109" s="544"/>
      <x:c r="I109" s="678"/>
      <x:c r="J109" s="679"/>
    </x:row>
    <x:row r="110" ht="18">
      <x:c r="A110" s="668"/>
      <x:c r="B110" s="544"/>
      <x:c r="C110" s="544"/>
      <x:c r="D110" s="544"/>
      <x:c r="E110" s="544"/>
      <x:c r="F110" s="544"/>
      <x:c r="G110" s="544"/>
      <x:c r="H110" s="544"/>
      <x:c r="I110" s="674" t="s">
        <x:v>149</x:v>
      </x:c>
      <x:c r="J110" s="680" t="s">
        <x:v>150</x:v>
      </x:c>
    </x:row>
    <x:row r="111" ht="18">
      <x:c r="A111" s="548"/>
      <x:c r="B111" s="547" t="s">
        <x:v>151</x:v>
      </x:c>
      <x:c r="C111" s="548"/>
      <x:c r="D111" s="548"/>
      <x:c r="E111" s="548"/>
      <x:c r="F111" s="549"/>
      <x:c r="G111" s="550"/>
      <x:c r="H111" s="548"/>
      <x:c r="I111" s="674"/>
      <x:c r="J111" s="681"/>
    </x:row>
    <x:row r="112" ht="18">
      <x:c r="A112" s="548"/>
      <x:c r="B112" s="547" t="s">
        <x:v>152</x:v>
      </x:c>
      <x:c r="C112" s="548"/>
      <x:c r="D112" s="548"/>
      <x:c r="E112" s="552"/>
      <x:c r="F112" s="549"/>
      <x:c r="G112" s="550"/>
      <x:c r="H112" s="552"/>
      <x:c r="I112" s="674"/>
      <x:c r="J112" s="715"/>
    </x:row>
    <x:row r="113" ht="18">
      <x:c r="A113" s="548"/>
      <x:c r="B113" s="544" t="s">
        <x:v>94</x:v>
      </x:c>
      <x:c r="C113" s="544"/>
      <x:c r="D113" s="544"/>
      <x:c r="E113" s="544"/>
      <x:c r="F113" s="544"/>
      <x:c r="G113" s="544"/>
      <x:c r="H113" s="544"/>
      <x:c r="I113" s="674"/>
      <x:c r="J113" s="715"/>
    </x:row>
    <x:row r="114" ht="18">
      <x:c r="A114" s="548"/>
      <x:c r="B114" s="546" t="s">
        <x:v>153</x:v>
      </x:c>
      <x:c r="C114" s="557"/>
      <x:c r="D114" s="557"/>
      <x:c r="E114" s="557"/>
      <x:c r="F114" s="557"/>
      <x:c r="G114" s="557"/>
      <x:c r="H114" s="557"/>
      <x:c r="I114" s="682"/>
      <x:c r="J114" s="683"/>
    </x:row>
    <x:row r="115" ht="18">
      <x:c r="A115" s="668"/>
      <x:c r="B115" s="544" t="s">
        <x:v>154</x:v>
      </x:c>
      <x:c r="C115" s="544"/>
      <x:c r="D115" s="544"/>
      <x:c r="E115" s="544"/>
      <x:c r="F115" s="544"/>
      <x:c r="G115" s="544"/>
      <x:c r="H115" s="544"/>
      <x:c r="I115" s="682"/>
      <x:c r="J115" s="683"/>
    </x:row>
    <x:row r="116" ht="18">
      <x:c r="A116" s="557"/>
      <x:c r="B116" s="557" t="s">
        <x:v>155</x:v>
      </x:c>
      <x:c r="C116" s="557"/>
      <x:c r="D116" s="557"/>
      <x:c r="E116" s="557"/>
      <x:c r="F116" s="557"/>
      <x:c r="G116" s="557"/>
      <x:c r="H116" s="557"/>
      <x:c r="I116" s="682"/>
      <x:c r="J116" s="683"/>
    </x:row>
    <x:row r="117" ht="18">
      <x:c r="A117" s="548"/>
      <x:c r="B117" s="547" t="s">
        <x:v>132</x:v>
      </x:c>
      <x:c r="C117" s="552"/>
      <x:c r="D117" s="552"/>
      <x:c r="E117" s="684"/>
      <x:c r="F117" s="684"/>
      <x:c r="G117" s="685"/>
      <x:c r="H117" s="684"/>
      <x:c r="I117" s="682"/>
      <x:c r="J117" s="683"/>
    </x:row>
    <x:row r="118" ht="27" customHeight="1">
      <x:c r="A118" s="548"/>
      <x:c r="B118" s="668" t="s">
        <x:v>133</x:v>
      </x:c>
      <x:c r="C118" s="548"/>
      <x:c r="D118" s="548"/>
      <x:c r="E118" s="552"/>
      <x:c r="F118" s="684"/>
      <x:c r="G118" s="685"/>
      <x:c r="H118" s="552"/>
      <x:c r="I118" s="682"/>
      <x:c r="J118" s="683"/>
    </x:row>
    <x:row r="119" s="653" customFormat="1" ht="28" customHeight="1">
      <x:c r="A119" s="542"/>
      <x:c r="B119" s="541" t="s">
        <x:v>174</x:v>
      </x:c>
      <x:c r="C119" s="541"/>
      <x:c r="D119" s="541"/>
      <x:c r="E119" s="541"/>
      <x:c r="F119" s="541"/>
      <x:c r="G119" s="541"/>
      <x:c r="H119" s="541"/>
      <x:c r="I119" s="686"/>
      <x:c r="J119" s="686"/>
    </x:row>
    <x:row r="120" s="653" customFormat="1" ht="27" customHeight="1">
      <x:c r="A120" s="542"/>
      <x:c r="B120" s="541"/>
      <x:c r="C120" s="541"/>
      <x:c r="D120" s="541"/>
      <x:c r="E120" s="541"/>
      <x:c r="F120" s="541"/>
      <x:c r="G120" s="541"/>
      <x:c r="H120" s="541"/>
      <x:c r="I120" s="686"/>
      <x:c r="J120" s="686"/>
    </x:row>
    <x:row r="121" ht="31.5">
      <x:c r="B121" s="571" t="s">
        <x:v>157</x:v>
      </x:c>
      <x:c r="C121" s="690" t="s">
        <x:v>158</x:v>
      </x:c>
      <x:c r="D121" s="691"/>
      <x:c r="E121" s="691"/>
      <x:c r="F121" s="692"/>
      <x:c r="G121" s="570" t="s">
        <x:v>159</x:v>
      </x:c>
      <x:c r="H121" s="691"/>
      <x:c r="I121" s="694" t="s">
        <x:v>160</x:v>
      </x:c>
      <x:c r="J121" s="695"/>
    </x:row>
    <x:row r="122" ht="31.5">
      <x:c r="B122" s="571" t="s">
        <x:v>161</x:v>
      </x:c>
      <x:c r="C122" s="571" t="s">
        <x:v>162</x:v>
      </x:c>
      <x:c r="D122" s="570" t="s">
        <x:v>163</x:v>
      </x:c>
      <x:c r="E122" s="571" t="s">
        <x:v>28</x:v>
      </x:c>
      <x:c r="F122" s="361" t="s">
        <x:v>164</x:v>
      </x:c>
      <x:c r="G122" s="570" t="s">
        <x:v>163</x:v>
      </x:c>
      <x:c r="H122" s="571" t="s">
        <x:v>28</x:v>
      </x:c>
      <x:c r="I122" s="571" t="s">
        <x:v>165</x:v>
      </x:c>
      <x:c r="J122" s="571" t="s">
        <x:v>166</x:v>
      </x:c>
    </x:row>
    <x:row r="123" ht="18">
      <x:c r="B123" s="696"/>
      <x:c r="C123" s="697"/>
      <x:c r="D123" s="697"/>
      <x:c r="E123" s="696"/>
      <x:c r="F123" s="696"/>
      <x:c r="G123" s="696"/>
      <x:c r="H123" s="696"/>
      <x:c r="I123" s="699" t="s">
        <x:v>129</x:v>
      </x:c>
      <x:c r="J123" s="700"/>
    </x:row>
    <x:row r="124" ht="56" customHeight="1">
      <x:c r="A124">
        <x:v>35</x:v>
      </x:c>
      <x:c r="B124" s="577" t="e" cm="1">
        <x:f t="array" ref="B124">LOOKUP(1,0/((WHSU6439229!V:V=$J$107)*(WHSU6439229!X:X=$J$103)*(WHSU6439229!A:A=A124)),WHSU6439229!D:D)</x:f>
        <x:v>#N/A</x:v>
      </x:c>
      <x:c r="C124" s="577" t="e" cm="1">
        <x:f t="array" ref="C124">LOOKUP(1,0/((WHSU6439229!V:V=$J$107)*(WHSU6439229!X:X=$J$103)*(WHSU6439229!A:A=A124)),WHSU6439229!G:G&amp;WHSU6439229!F:F)</x:f>
        <x:v>#N/A</x:v>
      </x:c>
      <x:c r="D124" s="577" t="e" cm="1">
        <x:f t="array" ref="D124">LOOKUP(1,0/((WHSU6439229!D:D=B124)*(WHSU6439229!G:G&amp;WHSU6439229!F:F=C124)),WHSU6439229!L:L)</x:f>
        <x:v>#N/A</x:v>
      </x:c>
      <x:c r="E124" s="578" t="e" cm="1">
        <x:f t="array" ref="E124">LOOKUP(1,0/((WHSU6439229!D:D=B124)*(WHSU6439229!G:G&amp;WHSU6439229!F:F=C124)),WHSU6439229!M:M)</x:f>
        <x:v>#N/A</x:v>
      </x:c>
      <x:c r="F124" s="579" t="e">
        <x:f t="array" ref="F124">LOOKUP(1,0/((WHSU6439229!D:D=B124)*(WHSU6439229!G:G&amp;WHSU6439229!F:F=C124)),WHSU6439229!C:C)</x:f>
        <x:v>#N/A</x:v>
      </x:c>
      <x:c r="G124" s="580" t="e" cm="1">
        <x:f t="array" ref="G124">LOOKUP(1,0/((WHSU6439229!D:D=B124)*(WHSU6439229!G:G&amp;WHSU6439229!F:F=C124)),WHSU6439229!K:K)</x:f>
        <x:v>#N/A</x:v>
      </x:c>
      <x:c r="H124" s="580" t="e" cm="1">
        <x:f t="array" ref="H124">LOOKUP(1,0/((WHSU6439229!D:D=B124)*(WHSU6439229!G:G&amp;WHSU6439229!F:F=C124)),WHSU6439229!J:J)</x:f>
        <x:v>#N/A</x:v>
      </x:c>
      <x:c r="I124" s="720" t="e">
        <x:f t="array" ref="I124">LOOKUP(1,0/((WHSU6439229!D:D=B124)*(WHSU6439229!G:G&amp;WHSU6439229!F:F=C124)),WHSU6439229!Z:Z)</x:f>
        <x:v>#N/A</x:v>
      </x:c>
      <x:c r="J124" s="582" t="e">
        <x:f>I124*G124</x:f>
        <x:v>#N/A</x:v>
      </x:c>
    </x:row>
    <x:row r="125" ht="38" customHeight="1">
      <x:c r="B125" s="577"/>
      <x:c r="C125" s="577"/>
      <x:c r="D125" s="577"/>
      <x:c r="E125" s="578"/>
      <x:c r="F125" s="579"/>
      <x:c r="G125" s="580"/>
      <x:c r="H125" s="578"/>
      <x:c r="I125" s="581"/>
      <x:c r="J125" s="582"/>
    </x:row>
    <x:row r="126" ht="38" customHeight="1">
      <x:c r="B126" s="577"/>
      <x:c r="C126" s="577"/>
      <x:c r="D126" s="577"/>
      <x:c r="E126" s="578"/>
      <x:c r="F126" s="579"/>
      <x:c r="G126" s="580"/>
      <x:c r="H126" s="578"/>
      <x:c r="I126" s="581"/>
      <x:c r="J126" s="582"/>
    </x:row>
    <x:row r="127" ht="31" customHeight="1">
      <x:c r="B127" s="577"/>
      <x:c r="C127" s="577"/>
      <x:c r="D127" s="577"/>
      <x:c r="E127" s="578"/>
      <x:c r="F127" s="579"/>
      <x:c r="G127" s="580"/>
      <x:c r="H127" s="578"/>
      <x:c r="I127" s="581"/>
      <x:c r="J127" s="582"/>
    </x:row>
    <x:row r="128" ht="31" customHeight="1">
      <x:c r="B128" s="577"/>
      <x:c r="C128" s="577"/>
      <x:c r="D128" s="577"/>
      <x:c r="E128" s="578"/>
      <x:c r="F128" s="579"/>
      <x:c r="G128" s="580"/>
      <x:c r="H128" s="578"/>
      <x:c r="I128" s="581"/>
      <x:c r="J128" s="582"/>
    </x:row>
    <x:row r="129" ht="31" customHeight="1">
      <x:c r="B129" s="577"/>
      <x:c r="C129" s="577"/>
      <x:c r="D129" s="577"/>
      <x:c r="E129" s="578"/>
      <x:c r="F129" s="579"/>
      <x:c r="G129" s="580"/>
      <x:c r="H129" s="578"/>
      <x:c r="I129" s="581"/>
      <x:c r="J129" s="582"/>
    </x:row>
    <x:row r="130" ht="31" customHeight="1">
      <x:c r="B130" s="577"/>
      <x:c r="C130" s="577"/>
      <x:c r="D130" s="577"/>
      <x:c r="E130" s="578"/>
      <x:c r="F130" s="579"/>
      <x:c r="G130" s="580"/>
      <x:c r="H130" s="578"/>
      <x:c r="I130" s="581"/>
      <x:c r="J130" s="582"/>
    </x:row>
    <x:row r="131" ht="18">
      <x:c r="A131" s="542"/>
      <x:c r="B131" s="701"/>
      <x:c r="C131" s="702"/>
      <x:c r="D131" s="702"/>
      <x:c r="E131" s="701"/>
      <x:c r="F131" s="701"/>
      <x:c r="G131" s="577" t="s">
        <x:v>167</x:v>
      </x:c>
      <x:c r="H131" s="701"/>
      <x:c r="I131" s="704" t="e">
        <x:f>SUM(J124:J130)</x:f>
        <x:v>#N/A</x:v>
      </x:c>
      <x:c r="J131" s="705"/>
    </x:row>
    <x:row r="132" ht="36">
      <x:c r="A132" s="668"/>
      <x:c r="B132" s="706" t="s">
        <x:v>168</x:v>
      </x:c>
      <x:c r="C132" s="707" t="e">
        <x:f>I131</x:f>
        <x:v>#N/A</x:v>
      </x:c>
      <x:c r="D132" s="708"/>
      <x:c r="E132" s="708"/>
      <x:c r="F132" s="709"/>
      <x:c r="G132" s="710"/>
      <x:c r="H132" s="708"/>
      <x:c r="I132" s="716"/>
      <x:c r="J132" s="716"/>
    </x:row>
    <x:row r="133" ht="18">
      <x:c r="B133" s="680"/>
      <x:c r="C133" s="717"/>
      <x:c r="D133" s="717"/>
      <x:c r="E133" s="717"/>
      <x:c r="F133" s="717"/>
      <x:c r="G133" s="718"/>
      <x:c r="H133" s="717"/>
      <x:c r="I133" s="718"/>
      <x:c r="J133" s="718"/>
    </x:row>
  </x:sheetData>
  <x:mergeCells>
    <x:mergeCell ref="B1:J1"/>
    <x:mergeCell ref="B2:J2"/>
    <x:mergeCell ref="B3:J3"/>
    <x:mergeCell ref="B4:J4"/>
    <x:mergeCell ref="B5:J5"/>
    <x:mergeCell ref="B6:J6"/>
    <x:mergeCell ref="B7:J7"/>
    <x:mergeCell ref="B8:G8"/>
    <x:mergeCell ref="B9:G9"/>
    <x:mergeCell ref="B10:G10"/>
    <x:mergeCell ref="B13:G13"/>
    <x:mergeCell ref="B14:C14"/>
    <x:mergeCell ref="B19:G19"/>
    <x:mergeCell ref="B21:G21"/>
    <x:mergeCell ref="C29:F29"/>
    <x:mergeCell ref="I29:J29"/>
    <x:mergeCell ref="I31:J31"/>
    <x:mergeCell ref="I48:J48"/>
    <x:mergeCell ref="C49:F49"/>
    <x:mergeCell ref="B56:I56"/>
    <x:mergeCell ref="B57:I57"/>
    <x:mergeCell ref="B58:I58"/>
    <x:mergeCell ref="B59:I59"/>
    <x:mergeCell ref="B60:I60"/>
    <x:mergeCell ref="B61:I61"/>
    <x:mergeCell ref="B62:I62"/>
    <x:mergeCell ref="B63:F63"/>
    <x:mergeCell ref="B64:F64"/>
    <x:mergeCell ref="B65:F65"/>
    <x:mergeCell ref="B68:F68"/>
    <x:mergeCell ref="B69:C69"/>
    <x:mergeCell ref="B74:F74"/>
    <x:mergeCell ref="B76:F76"/>
    <x:mergeCell ref="C82:E82"/>
    <x:mergeCell ref="I82:J82"/>
    <x:mergeCell ref="I84:J84"/>
    <x:mergeCell ref="I91:J91"/>
    <x:mergeCell ref="C92:E92"/>
    <x:mergeCell ref="B95:J95"/>
    <x:mergeCell ref="B96:J96"/>
    <x:mergeCell ref="B97:J97"/>
    <x:mergeCell ref="B98:J98"/>
    <x:mergeCell ref="B99:J99"/>
    <x:mergeCell ref="B100:J100"/>
    <x:mergeCell ref="B101:J101"/>
    <x:mergeCell ref="B102:G102"/>
    <x:mergeCell ref="B103:G103"/>
    <x:mergeCell ref="B104:G104"/>
    <x:mergeCell ref="B107:G107"/>
    <x:mergeCell ref="B108:C108"/>
    <x:mergeCell ref="B113:G113"/>
    <x:mergeCell ref="B115:G115"/>
    <x:mergeCell ref="C121:F121"/>
    <x:mergeCell ref="I121:J121"/>
    <x:mergeCell ref="I123:J123"/>
    <x:mergeCell ref="I131:J131"/>
    <x:mergeCell ref="C132:F132"/>
    <x:mergeCell ref="B11:F12"/>
    <x:mergeCell ref="B25:G27"/>
    <x:mergeCell ref="B15:G16"/>
    <x:mergeCell ref="G50:J51"/>
    <x:mergeCell ref="B50:E53"/>
    <x:mergeCell ref="G52:J53"/>
    <x:mergeCell ref="B80:F81"/>
    <x:mergeCell ref="L119:P120"/>
    <x:mergeCell ref="B105:F106"/>
    <x:mergeCell ref="B109:G110"/>
    <x:mergeCell ref="B119:G120"/>
    <x:mergeCell ref="K80:O81"/>
    <x:mergeCell ref="B66:E67"/>
    <x:mergeCell ref="B70:F7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3.5"/>
  <x:cols>
    <x:col min="1" max="1" width="6.633333206176758" customWidth="1"/>
    <x:col min="2" max="2" width="27.516666412353516" customWidth="1"/>
    <x:col min="3" max="3" width="64.26667022705078" customWidth="1"/>
    <x:col min="4" max="4" width="15.675000190734863" customWidth="1"/>
    <x:col min="5" max="5" width="11.991666793823242" customWidth="1"/>
    <x:col min="6" max="6" width="19.28333282470703" customWidth="1"/>
    <x:col min="7" max="7" width="20.53333282470703" customWidth="1"/>
    <x:col min="8" max="8" width="16.96666717529297" customWidth="1"/>
    <x:col min="9" max="9" width="19.299999237060547" customWidth="1"/>
  </x:cols>
  <x:sheetData>
    <x:row r="2" ht="30">
      <x:c r="B2" s="519" t="s">
        <x:v>91</x:v>
      </x:c>
      <x:c r="C2" s="519"/>
      <x:c r="D2" s="519"/>
      <x:c r="E2" s="519"/>
      <x:c r="F2" s="519"/>
      <x:c r="G2" s="519"/>
      <x:c r="H2" s="519"/>
    </x:row>
    <x:row r="3" ht="18" customHeight="1">
      <x:c r="B3" s="521" t="s">
        <x:v>175</x:v>
      </x:c>
      <x:c r="C3" s="521"/>
      <x:c r="D3" s="521"/>
      <x:c r="E3" s="521"/>
      <x:c r="F3" s="521"/>
      <x:c r="G3" s="521"/>
      <x:c r="H3" s="521"/>
    </x:row>
    <x:row r="4" ht="18" customHeight="1">
      <x:c r="B4" s="521"/>
      <x:c r="C4" s="521"/>
      <x:c r="D4" s="521"/>
      <x:c r="E4" s="521"/>
      <x:c r="F4" s="521"/>
      <x:c r="G4" s="521"/>
      <x:c r="H4" s="521"/>
    </x:row>
    <x:row r="5" ht="42" customHeight="1">
      <x:c r="B5" s="594" t="s">
        <x:v>75</x:v>
      </x:c>
      <x:c r="C5" s="594"/>
      <x:c r="D5" s="594"/>
      <x:c r="E5" s="594"/>
      <x:c r="F5" s="594"/>
      <x:c r="G5" s="594"/>
      <x:c r="H5" s="594"/>
    </x:row>
    <x:row r="6" ht="18">
      <x:c r="B6" s="595"/>
      <x:c r="C6" s="596"/>
      <x:c r="D6" s="596"/>
      <x:c r="E6" s="597"/>
      <x:c r="F6" s="595"/>
      <x:c r="G6" s="598"/>
      <x:c r="H6" s="546"/>
    </x:row>
    <x:row r="7" ht="18.75">
      <x:c r="B7" s="599" t="s">
        <x:v>76</x:v>
      </x:c>
      <x:c r="C7" s="546" t="s">
        <x:v>91</x:v>
      </x:c>
      <x:c r="D7" s="556"/>
      <x:c r="E7" s="556"/>
      <x:c r="F7" s="600"/>
      <x:c r="G7" s="601" t="s">
        <x:v>176</x:v>
      </x:c>
      <x:c r="H7" s="534" t="s">
        <x:v>177</x:v>
      </x:c>
    </x:row>
    <x:row r="8" ht="36.95000076293945" customHeight="1">
      <x:c r="B8" s="599"/>
      <x:c r="C8" s="529" t="s">
        <x:v>92</x:v>
      </x:c>
      <x:c r="D8" s="529"/>
      <x:c r="E8" s="529"/>
      <x:c r="F8" s="529"/>
      <x:c r="G8" s="601"/>
      <x:c r="H8" s="602"/>
    </x:row>
    <x:row r="9" ht="18.75">
      <x:c r="B9" s="599"/>
      <x:c r="C9" s="546" t="s">
        <x:v>152</x:v>
      </x:c>
      <x:c r="D9" s="556"/>
      <x:c r="E9" s="556"/>
      <x:c r="F9" s="600"/>
      <x:c r="G9" s="601"/>
      <x:c r="H9" s="534"/>
    </x:row>
    <x:row r="10" ht="18.75">
      <x:c r="B10" s="546"/>
      <x:c r="C10" s="546" t="s">
        <x:v>178</x:v>
      </x:c>
      <x:c r="D10" s="531"/>
      <x:c r="E10" s="531"/>
      <x:c r="F10" s="600"/>
      <x:c r="G10" s="407"/>
      <x:c r="H10" s="603"/>
    </x:row>
    <x:row r="11" ht="23.100000381469727" customHeight="1">
      <x:c r="B11" s="600"/>
      <x:c r="C11" s="546" t="s">
        <x:v>153</x:v>
      </x:c>
      <x:c r="D11" s="531"/>
      <x:c r="E11" s="531"/>
      <x:c r="F11" s="600"/>
      <x:c r="G11" s="601" t="s">
        <x:v>179</x:v>
      </x:c>
      <x:c r="H11" s="604">
        <x:v>46203</x:v>
      </x:c>
    </x:row>
    <x:row r="12" ht="11" customHeight="1">
      <x:c r="B12" s="599"/>
      <x:c r="C12" s="531"/>
      <x:c r="D12" s="531"/>
      <x:c r="E12" s="531"/>
      <x:c r="F12" s="600"/>
      <x:c r="G12" s="601"/>
      <x:c r="H12" s="605"/>
    </x:row>
    <x:row r="13" ht="26.100000381469727" customHeight="1">
      <x:c r="B13" s="493" t="s">
        <x:v>83</x:v>
      </x:c>
      <x:c r="C13" s="546" t="s">
        <x:v>180</x:v>
      </x:c>
      <x:c r="D13" s="546"/>
      <x:c r="E13" s="546"/>
      <x:c r="F13" s="600"/>
      <x:c r="G13" s="601"/>
      <x:c r="H13" s="534"/>
    </x:row>
    <x:row r="14" ht="26.100000381469727" customHeight="1">
      <x:c r="B14" s="493"/>
      <x:c r="C14" s="546" t="s">
        <x:v>181</x:v>
      </x:c>
      <x:c r="D14" s="546"/>
      <x:c r="E14" s="546"/>
      <x:c r="F14" s="600"/>
      <x:c r="G14" s="601"/>
      <x:c r="H14" s="534"/>
    </x:row>
    <x:row r="15" ht="36.95000076293945" customHeight="1">
      <x:c r="B15" s="546" t="s">
        <x:v>86</x:v>
      </x:c>
      <x:c r="C15" s="529" t="s">
        <x:v>182</x:v>
      </x:c>
      <x:c r="D15" s="529"/>
      <x:c r="E15" s="529"/>
      <x:c r="F15" s="529"/>
      <x:c r="G15" s="601" t="s">
        <x:v>183</x:v>
      </x:c>
      <x:c r="H15" s="534" t="s">
        <x:v>135</x:v>
      </x:c>
    </x:row>
    <x:row r="16" ht="18.75">
      <x:c r="B16" s="606"/>
      <x:c r="C16" s="529"/>
      <x:c r="D16" s="529"/>
      <x:c r="E16" s="529"/>
      <x:c r="F16" s="529"/>
      <x:c r="G16" s="601"/>
      <x:c r="H16" s="537"/>
    </x:row>
    <x:row r="17" ht="18">
      <x:c r="B17" s="493" t="s">
        <x:v>90</x:v>
      </x:c>
      <x:c r="C17" s="607" t="s">
        <x:v>91</x:v>
      </x:c>
      <x:c r="D17" s="547"/>
      <x:c r="E17" s="547"/>
      <x:c r="F17" s="608"/>
      <x:c r="G17" s="609"/>
      <x:c r="H17" s="597"/>
    </x:row>
    <x:row r="18" ht="39.95000076293945" customHeight="1">
      <x:c r="B18" s="493"/>
      <x:c r="C18" s="541" t="s">
        <x:v>92</x:v>
      </x:c>
      <x:c r="D18" s="541"/>
      <x:c r="E18" s="541"/>
      <x:c r="F18" s="541"/>
      <x:c r="G18" s="609"/>
      <x:c r="H18" s="597"/>
    </x:row>
    <x:row r="19" ht="21.950000762939453" customHeight="1">
      <x:c r="B19" s="493"/>
      <x:c r="C19" s="546" t="s">
        <x:v>93</x:v>
      </x:c>
      <x:c r="D19" s="547"/>
      <x:c r="E19" s="547"/>
      <x:c r="F19" s="608"/>
      <x:c r="G19" s="609"/>
      <x:c r="H19" s="597"/>
    </x:row>
    <x:row r="20" ht="21.950000762939453" customHeight="1">
      <x:c r="B20" s="493"/>
      <x:c r="C20" s="546" t="s">
        <x:v>94</x:v>
      </x:c>
      <x:c r="D20" s="546"/>
      <x:c r="E20" s="546"/>
      <x:c r="F20" s="610"/>
      <x:c r="G20" s="597"/>
      <x:c r="H20" s="597"/>
    </x:row>
    <x:row r="21" ht="21.950000762939453" customHeight="1">
      <x:c r="B21" s="611" t="s">
        <x:v>95</x:v>
      </x:c>
      <x:c r="C21" s="612"/>
      <x:c r="D21" s="612"/>
      <x:c r="E21" s="612"/>
      <x:c r="F21" s="595"/>
      <x:c r="G21" s="597"/>
      <x:c r="H21" s="597"/>
    </x:row>
    <x:row r="22" ht="21.950000762939453" customHeight="1">
      <x:c r="B22" s="613" t="s">
        <x:v>96</x:v>
      </x:c>
      <x:c r="C22" s="613"/>
      <x:c r="D22" s="613"/>
      <x:c r="E22" s="613"/>
      <x:c r="F22" s="613"/>
      <x:c r="G22" s="613"/>
      <x:c r="H22" s="613"/>
    </x:row>
    <x:row r="23" ht="15.75">
      <x:c r="B23" s="614"/>
      <x:c r="C23" s="615"/>
      <x:c r="D23" s="616"/>
      <x:c r="E23" s="615"/>
      <x:c r="F23" s="615"/>
      <x:c r="G23" s="615"/>
      <x:c r="H23" s="597"/>
    </x:row>
    <x:row r="24" ht="36">
      <x:c r="B24" s="617" t="s">
        <x:v>97</x:v>
      </x:c>
      <x:c r="C24" s="617" t="s">
        <x:v>98</x:v>
      </x:c>
      <x:c r="D24" s="617" t="s">
        <x:v>99</x:v>
      </x:c>
      <x:c r="E24" s="618" t="s">
        <x:v>100</x:v>
      </x:c>
      <x:c r="F24" s="619" t="s">
        <x:v>101</x:v>
      </x:c>
      <x:c r="G24" s="617" t="s">
        <x:v>102</x:v>
      </x:c>
      <x:c r="H24" s="617" t="s">
        <x:v>103</x:v>
      </x:c>
    </x:row>
    <x:row r="25" ht="30" customHeight="1">
      <x:c r="B25" s="617"/>
      <x:c r="C25" s="617"/>
      <x:c r="D25" s="617"/>
      <x:c r="E25" s="618"/>
      <x:c r="F25" s="620" t="s">
        <x:v>129</x:v>
      </x:c>
      <x:c r="G25" s="620"/>
      <x:c r="H25" s="617"/>
    </x:row>
    <x:row r="26" ht="45" customHeight="1">
      <x:c r="A26">
        <x:v>16</x:v>
      </x:c>
      <x:c r="B26" s="621"/>
      <x:c r="C26" s="621" t="e" cm="1">
        <x:f t="array" ref="C26">LOOKUP(1,0/((WHSU6439229!V:V=$H$7)*(WHSU6439229!A:A=A26)),WHSU6439229!G:G&amp;WHSU6439229!F:F)</x:f>
        <x:v>#N/A</x:v>
      </x:c>
      <x:c r="D26" s="621" t="e" cm="1">
        <x:f t="array" ref="D26">LOOKUP(1,0/((WHSU6439229!V:V=$H$7)*(WHSU6439229!A:A=A26)),WHSU6439229!K:K)</x:f>
        <x:v>#N/A</x:v>
      </x:c>
      <x:c r="E26" s="578" t="e" cm="1">
        <x:f t="array" ref="E26">LOOKUP(1,0/((WHSU6439229!V:V=$H$7)*(WHSU6439229!A:A=A26)),WHSU6439229!J:J)</x:f>
        <x:v>#N/A</x:v>
      </x:c>
      <x:c r="F26" s="581" t="e" cm="1">
        <x:f t="array" ref="F26">LOOKUP(1,0/((WHSU6439229!V:V=$H$7)*(WHSU6439229!A:A=A26)),WHSU6439229!Z:Z)</x:f>
        <x:v>#N/A</x:v>
      </x:c>
      <x:c r="G26" s="581" t="e">
        <x:f>F26*D26</x:f>
        <x:v>#N/A</x:v>
      </x:c>
      <x:c r="H26" s="617"/>
    </x:row>
    <x:row r="27" ht="45" customHeight="1">
      <x:c r="A27">
        <x:v>17</x:v>
      </x:c>
      <x:c r="B27" s="621"/>
      <x:c r="C27" s="621" t="e" cm="1">
        <x:f t="array" ref="C27">LOOKUP(1,0/((WHSU6439229!V:V=$H$7)*(WHSU6439229!A:A=A27)),WHSU6439229!G:G&amp;WHSU6439229!F:F)</x:f>
        <x:v>#N/A</x:v>
      </x:c>
      <x:c r="D27" s="621" t="e" cm="1">
        <x:f t="array" ref="D27">LOOKUP(1,0/((WHSU6439229!V:V=$H$7)*(WHSU6439229!A:A=A27)),WHSU6439229!K:K)</x:f>
        <x:v>#N/A</x:v>
      </x:c>
      <x:c r="E27" s="578" t="e" cm="1">
        <x:f t="array" ref="E27">LOOKUP(1,0/((WHSU6439229!V:V=$H$7)*(WHSU6439229!A:A=A27)),WHSU6439229!J:J)</x:f>
        <x:v>#N/A</x:v>
      </x:c>
      <x:c r="F27" s="581" t="e" cm="1">
        <x:f t="array" ref="F27">LOOKUP(1,0/((WHSU6439229!V:V=$H$7)*(WHSU6439229!A:A=A27)),WHSU6439229!Z:Z)</x:f>
        <x:v>#N/A</x:v>
      </x:c>
      <x:c r="G27" s="581" t="e">
        <x:f>F27*D27</x:f>
        <x:v>#N/A</x:v>
      </x:c>
      <x:c r="H27" s="617"/>
    </x:row>
    <x:row r="28" ht="45" customHeight="1">
      <x:c r="B28" s="621"/>
      <x:c r="C28" s="621"/>
      <x:c r="D28" s="621"/>
      <x:c r="E28" s="578"/>
      <x:c r="F28" s="581"/>
      <x:c r="G28" s="581"/>
      <x:c r="H28" s="617"/>
    </x:row>
    <x:row r="29" ht="45" customHeight="1">
      <x:c r="B29" s="621"/>
      <x:c r="C29" s="621"/>
      <x:c r="D29" s="621"/>
      <x:c r="E29" s="578"/>
      <x:c r="F29" s="581"/>
      <x:c r="G29" s="581"/>
      <x:c r="H29" s="617"/>
    </x:row>
    <x:row r="30" ht="45" customHeight="1">
      <x:c r="B30" s="621"/>
      <x:c r="C30" s="621"/>
      <x:c r="D30" s="621"/>
      <x:c r="E30" s="578"/>
      <x:c r="F30" s="581"/>
      <x:c r="G30" s="581"/>
      <x:c r="H30" s="617"/>
    </x:row>
    <x:row r="31" ht="45" customHeight="1">
      <x:c r="B31" s="621"/>
      <x:c r="C31" s="621"/>
      <x:c r="D31" s="621"/>
      <x:c r="E31" s="578"/>
      <x:c r="F31" s="581"/>
      <x:c r="G31" s="581"/>
      <x:c r="H31" s="617"/>
    </x:row>
    <x:row r="32" ht="45" customHeight="1">
      <x:c r="B32" s="621"/>
      <x:c r="C32" s="621"/>
      <x:c r="D32" s="621"/>
      <x:c r="E32" s="578"/>
      <x:c r="F32" s="581"/>
      <x:c r="G32" s="581"/>
      <x:c r="H32" s="617"/>
    </x:row>
    <x:row r="33" ht="54" customHeight="1">
      <x:c r="B33" s="622"/>
      <x:c r="C33" s="623"/>
      <x:c r="D33" s="624"/>
      <x:c r="E33" s="623"/>
      <x:c r="F33" s="625"/>
      <x:c r="G33" s="581" t="e">
        <x:f>SUM(G26:G32)</x:f>
        <x:v>#N/A</x:v>
      </x:c>
      <x:c r="H33" s="623"/>
    </x:row>
    <x:row r="34" ht="15.75">
      <x:c r="B34" s="596"/>
      <x:c r="C34" s="615"/>
      <x:c r="D34" s="597"/>
      <x:c r="E34" s="615"/>
      <x:c r="F34" s="626"/>
      <x:c r="G34" s="627"/>
      <x:c r="H34" s="615"/>
    </x:row>
    <x:row r="35" ht="27.950000762939453" customHeight="1">
      <x:c r="B35" s="628" t="s">
        <x:v>105</x:v>
      </x:c>
      <x:c r="C35" s="629" t="s">
        <x:v>106</x:v>
      </x:c>
      <x:c r="D35" s="630"/>
      <x:c r="E35" s="631"/>
      <x:c r="F35" s="631"/>
      <x:c r="G35" s="632"/>
      <x:c r="H35" s="597"/>
    </x:row>
    <x:row r="36" ht="27.950000762939453" customHeight="1">
      <x:c r="B36" s="633" t="s">
        <x:v>107</x:v>
      </x:c>
      <x:c r="C36" s="634" t="s">
        <x:v>129</x:v>
      </x:c>
      <x:c r="D36" s="634"/>
      <x:c r="E36" s="635"/>
      <x:c r="F36" s="635"/>
      <x:c r="G36" s="635"/>
      <x:c r="H36" s="615"/>
    </x:row>
    <x:row r="37" ht="27.950000762939453" customHeight="1">
      <x:c r="B37" s="628" t="s">
        <x:v>108</x:v>
      </x:c>
      <x:c r="C37" s="634" t="s">
        <x:v>109</x:v>
      </x:c>
      <x:c r="D37" s="634"/>
      <x:c r="E37" s="636"/>
      <x:c r="F37" s="637"/>
      <x:c r="G37" s="637"/>
      <x:c r="H37" s="638"/>
    </x:row>
    <x:row r="38" ht="36.95000076293945" customHeight="1">
      <x:c r="B38" s="633" t="s">
        <x:v>110</x:v>
      </x:c>
      <x:c r="C38" s="634" t="s">
        <x:v>111</x:v>
      </x:c>
      <x:c r="D38" s="639"/>
      <x:c r="E38" s="640" t="s">
        <x:v>184</x:v>
      </x:c>
      <x:c r="F38" s="640"/>
      <x:c r="G38" s="641" t="s">
        <x:v>113</x:v>
      </x:c>
      <x:c r="H38" s="638"/>
    </x:row>
    <x:row r="39" ht="33">
      <x:c r="B39" s="642" t="s">
        <x:v>114</x:v>
      </x:c>
      <x:c r="C39" s="636" t="s">
        <x:v>115</x:v>
      </x:c>
      <x:c r="D39" s="637"/>
      <x:c r="E39" s="637"/>
      <x:c r="F39" s="637"/>
      <x:c r="G39" s="637"/>
      <x:c r="H39" s="638"/>
    </x:row>
    <x:row r="40" ht="21.950000762939453" customHeight="1">
      <x:c r="B40" s="637" t="s">
        <x:v>116</x:v>
      </x:c>
      <x:c r="C40" s="637"/>
      <x:c r="D40" s="637"/>
      <x:c r="E40" s="637"/>
      <x:c r="F40" s="637"/>
      <x:c r="G40" s="637"/>
      <x:c r="H40" s="638"/>
    </x:row>
    <x:row r="41" ht="21.950000762939453" customHeight="1">
      <x:c r="B41" s="637" t="s">
        <x:v>117</x:v>
      </x:c>
      <x:c r="C41" s="637"/>
      <x:c r="D41" s="637"/>
      <x:c r="E41" s="637"/>
      <x:c r="F41" s="637"/>
      <x:c r="G41" s="637"/>
      <x:c r="H41" s="638"/>
    </x:row>
    <x:row r="42" ht="15.75">
      <x:c r="B42" s="643"/>
      <x:c r="C42" s="643"/>
      <x:c r="D42" s="643"/>
      <x:c r="E42" s="643"/>
      <x:c r="F42" s="643"/>
      <x:c r="G42" s="643"/>
      <x:c r="H42" s="643"/>
    </x:row>
    <x:row r="43" ht="35.099998474121094" customHeight="1">
      <x:c r="B43" s="644" t="s">
        <x:v>185</x:v>
      </x:c>
      <x:c r="C43" s="645" t="s">
        <x:v>91</x:v>
      </x:c>
      <x:c r="D43" s="646" t="s">
        <x:v>186</x:v>
      </x:c>
      <x:c r="E43" s="647" t="s">
        <x:v>187</x:v>
      </x:c>
      <x:c r="F43" s="648"/>
      <x:c r="G43" s="648"/>
      <x:c r="H43" s="648"/>
    </x:row>
    <x:row r="44" ht="35.099998474121094" customHeight="1">
      <x:c r="B44" s="644" t="s">
        <x:v>188</x:v>
      </x:c>
      <x:c r="C44" s="649"/>
      <x:c r="D44" s="650" t="s">
        <x:v>189</x:v>
      </x:c>
      <x:c r="E44" s="650"/>
      <x:c r="F44" s="651"/>
      <x:c r="G44" s="652"/>
      <x:c r="H44" s="652"/>
    </x:row>
    <x:row r="46"/>
    <x:row r="47" ht="30">
      <x:c r="B47" s="519" t="s">
        <x:v>91</x:v>
      </x:c>
      <x:c r="C47" s="519"/>
      <x:c r="D47" s="519"/>
      <x:c r="E47" s="519"/>
      <x:c r="F47" s="519"/>
      <x:c r="G47" s="519"/>
      <x:c r="H47" s="519"/>
    </x:row>
    <x:row r="48" ht="18" customHeight="1">
      <x:c r="B48" s="521" t="s">
        <x:v>175</x:v>
      </x:c>
      <x:c r="C48" s="521"/>
      <x:c r="D48" s="521"/>
      <x:c r="E48" s="521"/>
      <x:c r="F48" s="521"/>
      <x:c r="G48" s="521"/>
      <x:c r="H48" s="521"/>
    </x:row>
    <x:row r="49" ht="18" customHeight="1">
      <x:c r="B49" s="521"/>
      <x:c r="C49" s="521"/>
      <x:c r="D49" s="521"/>
      <x:c r="E49" s="521"/>
      <x:c r="F49" s="521"/>
      <x:c r="G49" s="521"/>
      <x:c r="H49" s="521"/>
    </x:row>
    <x:row r="50" ht="42" customHeight="1">
      <x:c r="B50" s="594" t="s">
        <x:v>75</x:v>
      </x:c>
      <x:c r="C50" s="594"/>
      <x:c r="D50" s="594"/>
      <x:c r="E50" s="594"/>
      <x:c r="F50" s="594"/>
      <x:c r="G50" s="594"/>
      <x:c r="H50" s="594"/>
    </x:row>
    <x:row r="51" ht="18">
      <x:c r="B51" s="595"/>
      <x:c r="C51" s="596"/>
      <x:c r="D51" s="596"/>
      <x:c r="E51" s="597"/>
      <x:c r="F51" s="595"/>
      <x:c r="G51" s="598"/>
      <x:c r="H51" s="546"/>
    </x:row>
    <x:row r="52" ht="18.75">
      <x:c r="B52" s="599" t="s">
        <x:v>76</x:v>
      </x:c>
      <x:c r="C52" s="546" t="s">
        <x:v>91</x:v>
      </x:c>
      <x:c r="D52" s="556"/>
      <x:c r="E52" s="556"/>
      <x:c r="F52" s="600"/>
      <x:c r="G52" s="601" t="s">
        <x:v>176</x:v>
      </x:c>
      <x:c r="H52" s="534" t="s">
        <x:v>190</x:v>
      </x:c>
    </x:row>
    <x:row r="53" ht="36.95000076293945" customHeight="1">
      <x:c r="B53" s="599"/>
      <x:c r="C53" s="529" t="s">
        <x:v>92</x:v>
      </x:c>
      <x:c r="D53" s="529"/>
      <x:c r="E53" s="529"/>
      <x:c r="F53" s="529"/>
      <x:c r="G53" s="601"/>
      <x:c r="H53" s="602"/>
    </x:row>
    <x:row r="54" ht="18.75">
      <x:c r="B54" s="599"/>
      <x:c r="C54" s="546" t="s">
        <x:v>152</x:v>
      </x:c>
      <x:c r="D54" s="556"/>
      <x:c r="E54" s="556"/>
      <x:c r="F54" s="600"/>
      <x:c r="G54" s="601"/>
      <x:c r="H54" s="534"/>
    </x:row>
    <x:row r="55" ht="18.75">
      <x:c r="B55" s="546"/>
      <x:c r="C55" s="546" t="s">
        <x:v>178</x:v>
      </x:c>
      <x:c r="D55" s="531"/>
      <x:c r="E55" s="531"/>
      <x:c r="F55" s="600"/>
      <x:c r="G55" s="407"/>
      <x:c r="H55" s="603"/>
    </x:row>
    <x:row r="56" ht="23.100000381469727" customHeight="1">
      <x:c r="B56" s="600"/>
      <x:c r="C56" s="546" t="s">
        <x:v>153</x:v>
      </x:c>
      <x:c r="D56" s="531"/>
      <x:c r="E56" s="531"/>
      <x:c r="F56" s="600"/>
      <x:c r="G56" s="601" t="s">
        <x:v>179</x:v>
      </x:c>
      <x:c r="H56" s="604">
        <x:v>46203</x:v>
      </x:c>
    </x:row>
    <x:row r="57" ht="11" customHeight="1">
      <x:c r="B57" s="599"/>
      <x:c r="C57" s="531"/>
      <x:c r="D57" s="531"/>
      <x:c r="E57" s="531"/>
      <x:c r="F57" s="600"/>
      <x:c r="G57" s="601"/>
      <x:c r="H57" s="605"/>
    </x:row>
    <x:row r="58" ht="26.100000381469727" customHeight="1">
      <x:c r="B58" s="493" t="s">
        <x:v>83</x:v>
      </x:c>
      <x:c r="C58" s="546" t="s">
        <x:v>180</x:v>
      </x:c>
      <x:c r="D58" s="546"/>
      <x:c r="E58" s="546"/>
      <x:c r="F58" s="600"/>
      <x:c r="G58" s="601"/>
      <x:c r="H58" s="534"/>
    </x:row>
    <x:row r="59" ht="26.100000381469727" customHeight="1">
      <x:c r="B59" s="493"/>
      <x:c r="C59" s="546" t="s">
        <x:v>181</x:v>
      </x:c>
      <x:c r="D59" s="546"/>
      <x:c r="E59" s="546"/>
      <x:c r="F59" s="600"/>
      <x:c r="G59" s="601"/>
      <x:c r="H59" s="534"/>
    </x:row>
    <x:row r="60" ht="36.95000076293945" customHeight="1">
      <x:c r="B60" s="546" t="s">
        <x:v>86</x:v>
      </x:c>
      <x:c r="C60" s="529" t="s">
        <x:v>182</x:v>
      </x:c>
      <x:c r="D60" s="529"/>
      <x:c r="E60" s="529"/>
      <x:c r="F60" s="529"/>
      <x:c r="G60" s="601" t="s">
        <x:v>183</x:v>
      </x:c>
      <x:c r="H60" s="534" t="s">
        <x:v>135</x:v>
      </x:c>
    </x:row>
    <x:row r="61" ht="18.75">
      <x:c r="B61" s="606"/>
      <x:c r="C61" s="529"/>
      <x:c r="D61" s="529"/>
      <x:c r="E61" s="529"/>
      <x:c r="F61" s="529"/>
      <x:c r="G61" s="601"/>
      <x:c r="H61" s="537"/>
    </x:row>
    <x:row r="62" ht="18">
      <x:c r="B62" s="493" t="s">
        <x:v>90</x:v>
      </x:c>
      <x:c r="C62" s="607" t="s">
        <x:v>91</x:v>
      </x:c>
      <x:c r="D62" s="547"/>
      <x:c r="E62" s="547"/>
      <x:c r="F62" s="608"/>
      <x:c r="G62" s="609"/>
      <x:c r="H62" s="597"/>
    </x:row>
    <x:row r="63" ht="39.95000076293945" customHeight="1">
      <x:c r="B63" s="493"/>
      <x:c r="C63" s="541" t="s">
        <x:v>92</x:v>
      </x:c>
      <x:c r="D63" s="541"/>
      <x:c r="E63" s="541"/>
      <x:c r="F63" s="541"/>
      <x:c r="G63" s="609"/>
      <x:c r="H63" s="597"/>
    </x:row>
    <x:row r="64" ht="21.950000762939453" customHeight="1">
      <x:c r="B64" s="493"/>
      <x:c r="C64" s="546" t="s">
        <x:v>93</x:v>
      </x:c>
      <x:c r="D64" s="547"/>
      <x:c r="E64" s="547"/>
      <x:c r="F64" s="608"/>
      <x:c r="G64" s="609"/>
      <x:c r="H64" s="597"/>
    </x:row>
    <x:row r="65" ht="21.950000762939453" customHeight="1">
      <x:c r="B65" s="493"/>
      <x:c r="C65" s="546" t="s">
        <x:v>94</x:v>
      </x:c>
      <x:c r="D65" s="546"/>
      <x:c r="E65" s="546"/>
      <x:c r="F65" s="610"/>
      <x:c r="G65" s="597"/>
      <x:c r="H65" s="597"/>
    </x:row>
    <x:row r="66" ht="21.950000762939453" customHeight="1">
      <x:c r="B66" s="611" t="s">
        <x:v>95</x:v>
      </x:c>
      <x:c r="C66" s="612"/>
      <x:c r="D66" s="612"/>
      <x:c r="E66" s="612"/>
      <x:c r="F66" s="595"/>
      <x:c r="G66" s="597"/>
      <x:c r="H66" s="597"/>
    </x:row>
    <x:row r="67" ht="21.950000762939453" customHeight="1">
      <x:c r="B67" s="613" t="s">
        <x:v>96</x:v>
      </x:c>
      <x:c r="C67" s="613"/>
      <x:c r="D67" s="613"/>
      <x:c r="E67" s="613"/>
      <x:c r="F67" s="613"/>
      <x:c r="G67" s="613"/>
      <x:c r="H67" s="613"/>
    </x:row>
    <x:row r="68" ht="15.75">
      <x:c r="B68" s="614"/>
      <x:c r="C68" s="615"/>
      <x:c r="D68" s="616"/>
      <x:c r="E68" s="615"/>
      <x:c r="F68" s="615"/>
      <x:c r="G68" s="615"/>
      <x:c r="H68" s="597"/>
    </x:row>
    <x:row r="69" ht="36">
      <x:c r="B69" s="617" t="s">
        <x:v>97</x:v>
      </x:c>
      <x:c r="C69" s="617" t="s">
        <x:v>98</x:v>
      </x:c>
      <x:c r="D69" s="617" t="s">
        <x:v>99</x:v>
      </x:c>
      <x:c r="E69" s="618" t="s">
        <x:v>100</x:v>
      </x:c>
      <x:c r="F69" s="619" t="s">
        <x:v>101</x:v>
      </x:c>
      <x:c r="G69" s="617" t="s">
        <x:v>102</x:v>
      </x:c>
      <x:c r="H69" s="617" t="s">
        <x:v>103</x:v>
      </x:c>
    </x:row>
    <x:row r="70" ht="30" customHeight="1">
      <x:c r="B70" s="617"/>
      <x:c r="C70" s="617"/>
      <x:c r="D70" s="617"/>
      <x:c r="E70" s="618"/>
      <x:c r="F70" s="620" t="s">
        <x:v>129</x:v>
      </x:c>
      <x:c r="G70" s="620"/>
      <x:c r="H70" s="617"/>
    </x:row>
    <x:row r="71" ht="45" customHeight="1">
      <x:c r="A71">
        <x:v>18</x:v>
      </x:c>
      <x:c r="B71" s="621"/>
      <x:c r="C71" s="621" t="e" cm="1">
        <x:f t="array" ref="C71">LOOKUP(1,0/((WHSU6439229!V:V=$H$52)*(WHSU6439229!A:A=A71)),WHSU6439229!G:G&amp;WHSU6439229!F:F)</x:f>
        <x:v>#N/A</x:v>
      </x:c>
      <x:c r="D71" s="621" t="e" cm="1">
        <x:f t="array" ref="D71">LOOKUP(1,0/((WHSU6439229!V:V=$H$52)*(WHSU6439229!A:A=A71)),WHSU6439229!K:K)</x:f>
        <x:v>#N/A</x:v>
      </x:c>
      <x:c r="E71" s="578" t="e" cm="1">
        <x:f t="array" ref="E71">LOOKUP(1,0/((WHSU6439229!V:V=$H$52)*(WHSU6439229!A:A=A71)),WHSU6439229!J:J)</x:f>
        <x:v>#N/A</x:v>
      </x:c>
      <x:c r="F71" s="581" t="e" cm="1">
        <x:f t="array" ref="F71">LOOKUP(1,0/((WHSU6439229!V:V=$H$52)*(WHSU6439229!A:A=A71)),WHSU6439229!Z:Z)</x:f>
        <x:v>#N/A</x:v>
      </x:c>
      <x:c r="G71" s="581" t="e">
        <x:f t="shared" ref="G71:G76" si="0">F71*D71</x:f>
        <x:v>#N/A</x:v>
      </x:c>
      <x:c r="H71" s="617"/>
    </x:row>
    <x:row r="72" ht="45" customHeight="1">
      <x:c r="A72">
        <x:v>19</x:v>
      </x:c>
      <x:c r="B72" s="621"/>
      <x:c r="C72" s="621" t="e" cm="1">
        <x:f t="array" ref="C72">LOOKUP(1,0/((WHSU6439229!V:V=$H$52)*(WHSU6439229!A:A=A72)),WHSU6439229!G:G&amp;WHSU6439229!F:F)</x:f>
        <x:v>#N/A</x:v>
      </x:c>
      <x:c r="D72" s="621" t="e" cm="1">
        <x:f t="array" ref="D72">LOOKUP(1,0/((WHSU6439229!V:V=$H$52)*(WHSU6439229!A:A=A72)),WHSU6439229!K:K)</x:f>
        <x:v>#N/A</x:v>
      </x:c>
      <x:c r="E72" s="578" t="e" cm="1">
        <x:f t="array" ref="E72">LOOKUP(1,0/((WHSU6439229!V:V=$H$52)*(WHSU6439229!A:A=A72)),WHSU6439229!J:J)</x:f>
        <x:v>#N/A</x:v>
      </x:c>
      <x:c r="F72" s="581" t="e" cm="1">
        <x:f t="array" ref="F72">LOOKUP(1,0/((WHSU6439229!V:V=$H$52)*(WHSU6439229!A:A=A72)),WHSU6439229!Z:Z)</x:f>
        <x:v>#N/A</x:v>
      </x:c>
      <x:c r="G72" s="581">
        <x:f t="shared" si="0"/>
        <x:v>26.16</x:v>
      </x:c>
      <x:c r="H72" s="617"/>
    </x:row>
    <x:row r="73" ht="45" customHeight="1">
      <x:c r="A73">
        <x:v>20</x:v>
      </x:c>
      <x:c r="B73" s="621"/>
      <x:c r="C73" s="621" t="e" cm="1">
        <x:f t="array" ref="C73">LOOKUP(1,0/((WHSU6439229!V:V=$H$52)*(WHSU6439229!A:A=A73)),WHSU6439229!G:G&amp;WHSU6439229!F:F)</x:f>
        <x:v>#N/A</x:v>
      </x:c>
      <x:c r="D73" s="621" t="e" cm="1">
        <x:f t="array" ref="D73">LOOKUP(1,0/((WHSU6439229!V:V=$H$52)*(WHSU6439229!A:A=A73)),WHSU6439229!K:K)</x:f>
        <x:v>#N/A</x:v>
      </x:c>
      <x:c r="E73" s="578" t="e" cm="1">
        <x:f t="array" ref="E73">LOOKUP(1,0/((WHSU6439229!V:V=$H$52)*(WHSU6439229!A:A=A73)),WHSU6439229!J:J)</x:f>
        <x:v>#N/A</x:v>
      </x:c>
      <x:c r="F73" s="581" t="e" cm="1">
        <x:f t="array" ref="F73">LOOKUP(1,0/((WHSU6439229!V:V=$H$52)*(WHSU6439229!A:A=A73)),WHSU6439229!Z:Z)</x:f>
        <x:v>#N/A</x:v>
      </x:c>
      <x:c r="G73" s="581">
        <x:f t="shared" si="0"/>
        <x:v>26.76</x:v>
      </x:c>
      <x:c r="H73" s="617"/>
    </x:row>
    <x:row r="74" ht="45" customHeight="1">
      <x:c r="A74">
        <x:v>21</x:v>
      </x:c>
      <x:c r="B74" s="621"/>
      <x:c r="C74" s="621" t="e" cm="1">
        <x:f t="array" ref="C74">LOOKUP(1,0/((WHSU6439229!V:V=$H$52)*(WHSU6439229!A:A=A74)),WHSU6439229!G:G&amp;WHSU6439229!F:F)</x:f>
        <x:v>#N/A</x:v>
      </x:c>
      <x:c r="D74" s="621" t="e" cm="1">
        <x:f t="array" ref="D74">LOOKUP(1,0/((WHSU6439229!V:V=$H$52)*(WHSU6439229!A:A=A74)),WHSU6439229!K:K)</x:f>
        <x:v>#N/A</x:v>
      </x:c>
      <x:c r="E74" s="578" t="e" cm="1">
        <x:f t="array" ref="E74">LOOKUP(1,0/((WHSU6439229!V:V=$H$52)*(WHSU6439229!A:A=A74)),WHSU6439229!J:J)</x:f>
        <x:v>#N/A</x:v>
      </x:c>
      <x:c r="F74" s="581" t="e" cm="1">
        <x:f t="array" ref="F74">LOOKUP(1,0/((WHSU6439229!V:V=$H$52)*(WHSU6439229!A:A=A74)),WHSU6439229!Z:Z)</x:f>
        <x:v>#N/A</x:v>
      </x:c>
      <x:c r="G74" s="581">
        <x:f t="shared" si="0"/>
        <x:v>33.99</x:v>
      </x:c>
      <x:c r="H74" s="617"/>
    </x:row>
    <x:row r="75" ht="45" customHeight="1">
      <x:c r="A75">
        <x:v>22</x:v>
      </x:c>
      <x:c r="B75" s="621"/>
      <x:c r="C75" s="621" t="e" cm="1">
        <x:f t="array" ref="C75">LOOKUP(1,0/((WHSU6439229!V:V=$H$52)*(WHSU6439229!A:A=A75)),WHSU6439229!G:G&amp;WHSU6439229!F:F)</x:f>
        <x:v>#N/A</x:v>
      </x:c>
      <x:c r="D75" s="621" t="e" cm="1">
        <x:f t="array" ref="D75">LOOKUP(1,0/((WHSU6439229!V:V=$H$52)*(WHSU6439229!A:A=A75)),WHSU6439229!K:K)</x:f>
        <x:v>#N/A</x:v>
      </x:c>
      <x:c r="E75" s="578" t="e" cm="1">
        <x:f t="array" ref="E75">LOOKUP(1,0/((WHSU6439229!V:V=$H$52)*(WHSU6439229!A:A=A75)),WHSU6439229!J:J)</x:f>
        <x:v>#N/A</x:v>
      </x:c>
      <x:c r="F75" s="581" t="e" cm="1">
        <x:f t="array" ref="F75">LOOKUP(1,0/((WHSU6439229!V:V=$H$52)*(WHSU6439229!A:A=A75)),WHSU6439229!Z:Z)</x:f>
        <x:v>#N/A</x:v>
      </x:c>
      <x:c r="G75" s="581">
        <x:f t="shared" si="0"/>
        <x:v>38.67</x:v>
      </x:c>
      <x:c r="H75" s="617"/>
    </x:row>
    <x:row r="76" ht="45" customHeight="1">
      <x:c r="A76">
        <x:v>23</x:v>
      </x:c>
      <x:c r="B76" s="621"/>
      <x:c r="C76" s="621" t="e" cm="1">
        <x:f t="array" ref="C76">LOOKUP(1,0/((WHSU6439229!V:V=$H$52)*(WHSU6439229!A:A=A76)),WHSU6439229!G:G&amp;WHSU6439229!F:F)</x:f>
        <x:v>#N/A</x:v>
      </x:c>
      <x:c r="D76" s="621" t="e" cm="1">
        <x:f t="array" ref="D76">LOOKUP(1,0/((WHSU6439229!V:V=$H$52)*(WHSU6439229!A:A=A76)),WHSU6439229!K:K)</x:f>
        <x:v>#N/A</x:v>
      </x:c>
      <x:c r="E76" s="578" t="e" cm="1">
        <x:f t="array" ref="E76">LOOKUP(1,0/((WHSU6439229!V:V=$H$52)*(WHSU6439229!A:A=A76)),WHSU6439229!J:J)</x:f>
        <x:v>#N/A</x:v>
      </x:c>
      <x:c r="F76" s="581" t="e" cm="1">
        <x:f t="array" ref="F76">LOOKUP(1,0/((WHSU6439229!V:V=$H$52)*(WHSU6439229!A:A=A76)),WHSU6439229!Z:Z)</x:f>
        <x:v>#N/A</x:v>
      </x:c>
      <x:c r="G76" s="581">
        <x:f t="shared" si="0"/>
        <x:v>53.55</x:v>
      </x:c>
      <x:c r="H76" s="617"/>
    </x:row>
    <x:row r="77" ht="45" customHeight="1">
      <x:c r="A77">
        <x:v>24</x:v>
      </x:c>
      <x:c r="B77" s="621"/>
      <x:c r="C77" s="621" t="e" cm="1">
        <x:f t="array" ref="C77">LOOKUP(1,0/((WHSU6439229!V:V=$H$52)*(WHSU6439229!A:A=A77)),WHSU6439229!G:G&amp;WHSU6439229!F:F)</x:f>
        <x:v>#N/A</x:v>
      </x:c>
      <x:c r="D77" s="621" t="e" cm="1">
        <x:f t="array" ref="D77">LOOKUP(1,0/((WHSU6439229!V:V=$H$52)*(WHSU6439229!A:A=A77)),WHSU6439229!K:K)</x:f>
        <x:v>#N/A</x:v>
      </x:c>
      <x:c r="E77" s="578" t="e" cm="1">
        <x:f t="array" ref="E77">LOOKUP(1,0/((WHSU6439229!V:V=$H$52)*(WHSU6439229!A:A=A77)),WHSU6439229!J:J)</x:f>
        <x:v>#N/A</x:v>
      </x:c>
      <x:c r="F77" s="581" t="e" cm="1">
        <x:f t="array" ref="F77">LOOKUP(1,0/((WHSU6439229!V:V=$H$52)*(WHSU6439229!A:A=A77)),WHSU6439229!Z:Z)</x:f>
        <x:v>#N/A</x:v>
      </x:c>
      <x:c r="G77" s="581" t="e">
        <x:f t="shared" ref="G77:G86" si="1">F77*D77</x:f>
        <x:v>#N/A</x:v>
      </x:c>
      <x:c r="H77" s="617"/>
    </x:row>
    <x:row r="78" ht="45" customHeight="1">
      <x:c r="A78">
        <x:v>25</x:v>
      </x:c>
      <x:c r="B78" s="621"/>
      <x:c r="C78" s="621" t="e" cm="1">
        <x:f t="array" ref="C78">LOOKUP(1,0/((WHSU6439229!V:V=$H$52)*(WHSU6439229!A:A=A78)),WHSU6439229!G:G&amp;WHSU6439229!F:F)</x:f>
        <x:v>#N/A</x:v>
      </x:c>
      <x:c r="D78" s="621" t="e" cm="1">
        <x:f t="array" ref="D78">LOOKUP(1,0/((WHSU6439229!V:V=$H$52)*(WHSU6439229!A:A=A78)),WHSU6439229!K:K)</x:f>
        <x:v>#N/A</x:v>
      </x:c>
      <x:c r="E78" s="578" t="e" cm="1">
        <x:f t="array" ref="E78">LOOKUP(1,0/((WHSU6439229!V:V=$H$52)*(WHSU6439229!A:A=A78)),WHSU6439229!J:J)</x:f>
        <x:v>#N/A</x:v>
      </x:c>
      <x:c r="F78" s="581" t="e" cm="1">
        <x:f t="array" ref="F78">LOOKUP(1,0/((WHSU6439229!V:V=$H$52)*(WHSU6439229!A:A=A78)),WHSU6439229!Z:Z)</x:f>
        <x:v>#N/A</x:v>
      </x:c>
      <x:c r="G78" s="581">
        <x:f t="shared" si="1"/>
        <x:v>20.88</x:v>
      </x:c>
      <x:c r="H78" s="617"/>
    </x:row>
    <x:row r="79" ht="45" customHeight="1">
      <x:c r="A79">
        <x:v>26</x:v>
      </x:c>
      <x:c r="B79" s="621"/>
      <x:c r="C79" s="621" t="e" cm="1">
        <x:f t="array" ref="C79">LOOKUP(1,0/((WHSU6439229!V:V=$H$52)*(WHSU6439229!A:A=A79)),WHSU6439229!G:G&amp;WHSU6439229!F:F)</x:f>
        <x:v>#N/A</x:v>
      </x:c>
      <x:c r="D79" s="621" t="e" cm="1">
        <x:f t="array" ref="D79">LOOKUP(1,0/((WHSU6439229!V:V=$H$52)*(WHSU6439229!A:A=A79)),WHSU6439229!K:K)</x:f>
        <x:v>#N/A</x:v>
      </x:c>
      <x:c r="E79" s="578" t="e" cm="1">
        <x:f t="array" ref="E79">LOOKUP(1,0/((WHSU6439229!V:V=$H$52)*(WHSU6439229!A:A=A79)),WHSU6439229!J:J)</x:f>
        <x:v>#N/A</x:v>
      </x:c>
      <x:c r="F79" s="581" t="e" cm="1">
        <x:f t="array" ref="F79">LOOKUP(1,0/((WHSU6439229!V:V=$H$52)*(WHSU6439229!A:A=A79)),WHSU6439229!Z:Z)</x:f>
        <x:v>#N/A</x:v>
      </x:c>
      <x:c r="G79" s="581">
        <x:f t="shared" si="1"/>
        <x:v>20.88</x:v>
      </x:c>
      <x:c r="H79" s="617"/>
    </x:row>
    <x:row r="80" ht="45" customHeight="1">
      <x:c r="A80">
        <x:v>27</x:v>
      </x:c>
      <x:c r="B80" s="621"/>
      <x:c r="C80" s="621" t="e" cm="1">
        <x:f t="array" ref="C80">LOOKUP(1,0/((WHSU6439229!V:V=$H$52)*(WHSU6439229!A:A=A80)),WHSU6439229!G:G&amp;WHSU6439229!F:F)</x:f>
        <x:v>#N/A</x:v>
      </x:c>
      <x:c r="D80" s="621" t="e" cm="1">
        <x:f t="array" ref="D80">LOOKUP(1,0/((WHSU6439229!V:V=$H$52)*(WHSU6439229!A:A=A80)),WHSU6439229!K:K)</x:f>
        <x:v>#N/A</x:v>
      </x:c>
      <x:c r="E80" s="578" t="e" cm="1">
        <x:f t="array" ref="E80">LOOKUP(1,0/((WHSU6439229!V:V=$H$52)*(WHSU6439229!A:A=A80)),WHSU6439229!J:J)</x:f>
        <x:v>#N/A</x:v>
      </x:c>
      <x:c r="F80" s="581" t="e" cm="1">
        <x:f t="array" ref="F80">LOOKUP(1,0/((WHSU6439229!V:V=$H$52)*(WHSU6439229!A:A=A80)),WHSU6439229!Z:Z)</x:f>
        <x:v>#N/A</x:v>
      </x:c>
      <x:c r="G80" s="581">
        <x:f t="shared" si="1"/>
        <x:v>22.98</x:v>
      </x:c>
      <x:c r="H80" s="617"/>
    </x:row>
    <x:row r="81" ht="45" customHeight="1">
      <x:c r="A81">
        <x:v>28</x:v>
      </x:c>
      <x:c r="B81" s="621"/>
      <x:c r="C81" s="621" t="e" cm="1">
        <x:f t="array" ref="C81">LOOKUP(1,0/((WHSU6439229!V:V=$H$52)*(WHSU6439229!A:A=A81)),WHSU6439229!G:G&amp;WHSU6439229!F:F)</x:f>
        <x:v>#N/A</x:v>
      </x:c>
      <x:c r="D81" s="621" t="e" cm="1">
        <x:f t="array" ref="D81">LOOKUP(1,0/((WHSU6439229!V:V=$H$52)*(WHSU6439229!A:A=A81)),WHSU6439229!K:K)</x:f>
        <x:v>#N/A</x:v>
      </x:c>
      <x:c r="E81" s="578" t="e" cm="1">
        <x:f t="array" ref="E81">LOOKUP(1,0/((WHSU6439229!V:V=$H$52)*(WHSU6439229!A:A=A81)),WHSU6439229!J:J)</x:f>
        <x:v>#N/A</x:v>
      </x:c>
      <x:c r="F81" s="581" t="e" cm="1">
        <x:f t="array" ref="F81">LOOKUP(1,0/((WHSU6439229!V:V=$H$52)*(WHSU6439229!A:A=A81)),WHSU6439229!Z:Z)</x:f>
        <x:v>#N/A</x:v>
      </x:c>
      <x:c r="G81" s="581">
        <x:f t="shared" si="1"/>
        <x:v>25.14</x:v>
      </x:c>
      <x:c r="H81" s="617"/>
    </x:row>
    <x:row r="82" ht="45" customHeight="1">
      <x:c r="A82">
        <x:v>29</x:v>
      </x:c>
      <x:c r="B82" s="621"/>
      <x:c r="C82" s="621" t="e" cm="1">
        <x:f t="array" ref="C82">LOOKUP(1,0/((WHSU6439229!V:V=$H$52)*(WHSU6439229!A:A=A82)),WHSU6439229!G:G&amp;WHSU6439229!F:F)</x:f>
        <x:v>#N/A</x:v>
      </x:c>
      <x:c r="D82" s="621" t="e" cm="1">
        <x:f t="array" ref="D82">LOOKUP(1,0/((WHSU6439229!V:V=$H$52)*(WHSU6439229!A:A=A82)),WHSU6439229!K:K)</x:f>
        <x:v>#N/A</x:v>
      </x:c>
      <x:c r="E82" s="578" t="e" cm="1">
        <x:f t="array" ref="E82">LOOKUP(1,0/((WHSU6439229!V:V=$H$52)*(WHSU6439229!A:A=A82)),WHSU6439229!J:J)</x:f>
        <x:v>#N/A</x:v>
      </x:c>
      <x:c r="F82" s="581" t="e" cm="1">
        <x:f t="array" ref="F82">LOOKUP(1,0/((WHSU6439229!V:V=$H$52)*(WHSU6439229!A:A=A82)),WHSU6439229!Z:Z)</x:f>
        <x:v>#N/A</x:v>
      </x:c>
      <x:c r="G82" s="581">
        <x:f t="shared" si="1"/>
        <x:v>42.36</x:v>
      </x:c>
      <x:c r="H82" s="617"/>
    </x:row>
    <x:row r="83" ht="45" customHeight="1">
      <x:c r="A83">
        <x:v>30</x:v>
      </x:c>
      <x:c r="B83" s="621"/>
      <x:c r="C83" s="621" t="e" cm="1">
        <x:f t="array" ref="C83">LOOKUP(1,0/((WHSU6439229!V:V=$H$52)*(WHSU6439229!A:A=A83)),WHSU6439229!G:G&amp;WHSU6439229!F:F)</x:f>
        <x:v>#N/A</x:v>
      </x:c>
      <x:c r="D83" s="621" t="e" cm="1">
        <x:f t="array" ref="D83">LOOKUP(1,0/((WHSU6439229!V:V=$H$52)*(WHSU6439229!A:A=A83)),WHSU6439229!K:K)</x:f>
        <x:v>#N/A</x:v>
      </x:c>
      <x:c r="E83" s="578" t="e" cm="1">
        <x:f t="array" ref="E83">LOOKUP(1,0/((WHSU6439229!V:V=$H$52)*(WHSU6439229!A:A=A83)),WHSU6439229!J:J)</x:f>
        <x:v>#N/A</x:v>
      </x:c>
      <x:c r="F83" s="581" t="e" cm="1">
        <x:f t="array" ref="F83">LOOKUP(1,0/((WHSU6439229!V:V=$H$52)*(WHSU6439229!A:A=A83)),WHSU6439229!Z:Z)</x:f>
        <x:v>#N/A</x:v>
      </x:c>
      <x:c r="G83" s="581">
        <x:f t="shared" si="1"/>
        <x:v>51.96</x:v>
      </x:c>
      <x:c r="H83" s="617"/>
    </x:row>
    <x:row r="84" ht="45" customHeight="1">
      <x:c r="A84">
        <x:v>31</x:v>
      </x:c>
      <x:c r="B84" s="621"/>
      <x:c r="C84" s="621" t="e" cm="1">
        <x:f t="array" ref="C84">LOOKUP(1,0/((WHSU6439229!V:V=$H$52)*(WHSU6439229!A:A=A84)),WHSU6439229!G:G&amp;WHSU6439229!F:F)</x:f>
        <x:v>#N/A</x:v>
      </x:c>
      <x:c r="D84" s="621" t="e" cm="1">
        <x:f t="array" ref="D84">LOOKUP(1,0/((WHSU6439229!V:V=$H$52)*(WHSU6439229!A:A=A84)),WHSU6439229!K:K)</x:f>
        <x:v>#N/A</x:v>
      </x:c>
      <x:c r="E84" s="578" t="e" cm="1">
        <x:f t="array" ref="E84">LOOKUP(1,0/((WHSU6439229!V:V=$H$52)*(WHSU6439229!A:A=A84)),WHSU6439229!J:J)</x:f>
        <x:v>#N/A</x:v>
      </x:c>
      <x:c r="F84" s="581" t="e" cm="1">
        <x:f t="array" ref="F84">LOOKUP(1,0/((WHSU6439229!V:V=$H$52)*(WHSU6439229!A:A=A84)),WHSU6439229!Z:Z)</x:f>
        <x:v>#N/A</x:v>
      </x:c>
      <x:c r="G84" s="581">
        <x:f t="shared" si="1"/>
        <x:v>73.74</x:v>
      </x:c>
      <x:c r="H84" s="617"/>
    </x:row>
    <x:row r="85" ht="45" customHeight="1">
      <x:c r="A85">
        <x:v>32</x:v>
      </x:c>
      <x:c r="B85" s="621"/>
      <x:c r="C85" s="621" t="e" cm="1">
        <x:f t="array" ref="C85">LOOKUP(1,0/((WHSU6439229!V:V=$H$52)*(WHSU6439229!A:A=A85)),WHSU6439229!G:G&amp;WHSU6439229!F:F)</x:f>
        <x:v>#N/A</x:v>
      </x:c>
      <x:c r="D85" s="621" t="e" cm="1">
        <x:f t="array" ref="D85">LOOKUP(1,0/((WHSU6439229!V:V=$H$52)*(WHSU6439229!A:A=A85)),WHSU6439229!K:K)</x:f>
        <x:v>#N/A</x:v>
      </x:c>
      <x:c r="E85" s="578" t="e" cm="1">
        <x:f t="array" ref="E85">LOOKUP(1,0/((WHSU6439229!V:V=$H$52)*(WHSU6439229!A:A=A85)),WHSU6439229!J:J)</x:f>
        <x:v>#N/A</x:v>
      </x:c>
      <x:c r="F85" s="581" t="e" cm="1">
        <x:f t="array" ref="F85">LOOKUP(1,0/((WHSU6439229!V:V=$H$52)*(WHSU6439229!A:A=A85)),WHSU6439229!Z:Z)</x:f>
        <x:v>#N/A</x:v>
      </x:c>
      <x:c r="G85" s="581">
        <x:f t="shared" si="1"/>
        <x:v>89.55</x:v>
      </x:c>
      <x:c r="H85" s="617"/>
    </x:row>
    <x:row r="86" ht="45" customHeight="1">
      <x:c r="A86">
        <x:v>33</x:v>
      </x:c>
      <x:c r="B86" s="621"/>
      <x:c r="C86" s="621" t="e" cm="1">
        <x:f t="array" ref="C86">LOOKUP(1,0/((WHSU6439229!V:V=$H$52)*(WHSU6439229!A:A=A86)),WHSU6439229!G:G&amp;WHSU6439229!F:F)</x:f>
        <x:v>#N/A</x:v>
      </x:c>
      <x:c r="D86" s="621" t="e" cm="1">
        <x:f t="array" ref="D86">LOOKUP(1,0/((WHSU6439229!V:V=$H$52)*(WHSU6439229!A:A=A86)),WHSU6439229!K:K)</x:f>
        <x:v>#N/A</x:v>
      </x:c>
      <x:c r="E86" s="578" t="e" cm="1">
        <x:f t="array" ref="E86">LOOKUP(1,0/((WHSU6439229!V:V=$H$52)*(WHSU6439229!A:A=A86)),WHSU6439229!J:J)</x:f>
        <x:v>#N/A</x:v>
      </x:c>
      <x:c r="F86" s="581" t="e" cm="1">
        <x:f t="array" ref="F86">LOOKUP(1,0/((WHSU6439229!V:V=$H$52)*(WHSU6439229!A:A=A86)),WHSU6439229!Z:Z)</x:f>
        <x:v>#N/A</x:v>
      </x:c>
      <x:c r="G86" s="581">
        <x:f t="shared" si="1"/>
        <x:v>110.16</x:v>
      </x:c>
      <x:c r="H86" s="617"/>
    </x:row>
    <x:row r="87" ht="45" customHeight="1">
      <x:c r="B87" s="621"/>
      <x:c r="C87" s="621"/>
      <x:c r="D87" s="621"/>
      <x:c r="E87" s="578"/>
      <x:c r="F87" s="581"/>
      <x:c r="G87" s="581"/>
      <x:c r="H87" s="617"/>
    </x:row>
    <x:row r="88" ht="54" customHeight="1">
      <x:c r="B88" s="622"/>
      <x:c r="C88" s="623"/>
      <x:c r="D88" s="624"/>
      <x:c r="E88" s="623"/>
      <x:c r="F88" s="625"/>
      <x:c r="G88" s="581" t="e">
        <x:f>SUM(G71:G86)</x:f>
        <x:v>#N/A</x:v>
      </x:c>
      <x:c r="H88" s="623"/>
    </x:row>
    <x:row r="89" ht="15.75">
      <x:c r="B89" s="596"/>
      <x:c r="C89" s="615"/>
      <x:c r="D89" s="597"/>
      <x:c r="E89" s="615"/>
      <x:c r="F89" s="626"/>
      <x:c r="G89" s="627"/>
      <x:c r="H89" s="615"/>
    </x:row>
    <x:row r="90" ht="27.950000762939453" customHeight="1">
      <x:c r="B90" s="628" t="s">
        <x:v>105</x:v>
      </x:c>
      <x:c r="C90" s="629" t="s">
        <x:v>106</x:v>
      </x:c>
      <x:c r="D90" s="630"/>
      <x:c r="E90" s="631"/>
      <x:c r="F90" s="631"/>
      <x:c r="G90" s="632"/>
      <x:c r="H90" s="597"/>
    </x:row>
    <x:row r="91" ht="27.950000762939453" customHeight="1">
      <x:c r="B91" s="633" t="s">
        <x:v>107</x:v>
      </x:c>
      <x:c r="C91" s="634" t="s">
        <x:v>129</x:v>
      </x:c>
      <x:c r="D91" s="634"/>
      <x:c r="E91" s="635"/>
      <x:c r="F91" s="635"/>
      <x:c r="G91" s="635"/>
      <x:c r="H91" s="615"/>
    </x:row>
    <x:row r="92" ht="27.950000762939453" customHeight="1">
      <x:c r="B92" s="628" t="s">
        <x:v>108</x:v>
      </x:c>
      <x:c r="C92" s="634" t="s">
        <x:v>109</x:v>
      </x:c>
      <x:c r="D92" s="634"/>
      <x:c r="E92" s="636"/>
      <x:c r="F92" s="637"/>
      <x:c r="G92" s="637"/>
      <x:c r="H92" s="638"/>
    </x:row>
    <x:row r="93" ht="36.95000076293945" customHeight="1">
      <x:c r="B93" s="633" t="s">
        <x:v>110</x:v>
      </x:c>
      <x:c r="C93" s="634" t="s">
        <x:v>111</x:v>
      </x:c>
      <x:c r="D93" s="639"/>
      <x:c r="E93" s="640" t="s">
        <x:v>184</x:v>
      </x:c>
      <x:c r="F93" s="640"/>
      <x:c r="G93" s="641" t="s">
        <x:v>113</x:v>
      </x:c>
      <x:c r="H93" s="638"/>
    </x:row>
    <x:row r="94" ht="33">
      <x:c r="B94" s="642" t="s">
        <x:v>114</x:v>
      </x:c>
      <x:c r="C94" s="636" t="s">
        <x:v>115</x:v>
      </x:c>
      <x:c r="D94" s="637"/>
      <x:c r="E94" s="637"/>
      <x:c r="F94" s="637"/>
      <x:c r="G94" s="637"/>
      <x:c r="H94" s="638"/>
    </x:row>
    <x:row r="95" ht="21.950000762939453" customHeight="1">
      <x:c r="B95" s="637" t="s">
        <x:v>116</x:v>
      </x:c>
      <x:c r="C95" s="637"/>
      <x:c r="D95" s="637"/>
      <x:c r="E95" s="637"/>
      <x:c r="F95" s="637"/>
      <x:c r="G95" s="637"/>
      <x:c r="H95" s="638"/>
    </x:row>
    <x:row r="96" ht="21.950000762939453" customHeight="1">
      <x:c r="B96" s="637" t="s">
        <x:v>117</x:v>
      </x:c>
      <x:c r="C96" s="637"/>
      <x:c r="D96" s="637"/>
      <x:c r="E96" s="637"/>
      <x:c r="F96" s="637"/>
      <x:c r="G96" s="637"/>
      <x:c r="H96" s="638"/>
    </x:row>
    <x:row r="97" ht="15.75">
      <x:c r="B97" s="643"/>
      <x:c r="C97" s="643"/>
      <x:c r="D97" s="643"/>
      <x:c r="E97" s="643"/>
      <x:c r="F97" s="643"/>
      <x:c r="G97" s="643"/>
      <x:c r="H97" s="643"/>
    </x:row>
    <x:row r="98" ht="35.099998474121094" customHeight="1">
      <x:c r="B98" s="644" t="s">
        <x:v>185</x:v>
      </x:c>
      <x:c r="C98" s="645" t="s">
        <x:v>91</x:v>
      </x:c>
      <x:c r="D98" s="646" t="s">
        <x:v>186</x:v>
      </x:c>
      <x:c r="E98" s="647" t="s">
        <x:v>187</x:v>
      </x:c>
      <x:c r="F98" s="648"/>
      <x:c r="G98" s="648"/>
      <x:c r="H98" s="648"/>
    </x:row>
    <x:row r="99" ht="35.099998474121094" customHeight="1">
      <x:c r="B99" s="644" t="s">
        <x:v>188</x:v>
      </x:c>
      <x:c r="C99" s="649"/>
      <x:c r="D99" s="650" t="s">
        <x:v>189</x:v>
      </x:c>
      <x:c r="E99" s="650"/>
      <x:c r="F99" s="651"/>
      <x:c r="G99" s="652"/>
      <x:c r="H99" s="652"/>
    </x:row>
  </x:sheetData>
  <x:mergeCells>
    <x:mergeCell ref="B2:H2"/>
    <x:mergeCell ref="B5:H5"/>
    <x:mergeCell ref="C6:D6"/>
    <x:mergeCell ref="C8:F8"/>
    <x:mergeCell ref="C18:F18"/>
    <x:mergeCell ref="B22:H22"/>
    <x:mergeCell ref="F25:G25"/>
    <x:mergeCell ref="C36:D36"/>
    <x:mergeCell ref="E38:F38"/>
    <x:mergeCell ref="E43:H43"/>
    <x:mergeCell ref="D44:E44"/>
    <x:mergeCell ref="G44:H44"/>
    <x:mergeCell ref="B47:H47"/>
    <x:mergeCell ref="B50:H50"/>
    <x:mergeCell ref="C51:D51"/>
    <x:mergeCell ref="C53:F53"/>
    <x:mergeCell ref="C63:F63"/>
    <x:mergeCell ref="B67:H67"/>
    <x:mergeCell ref="F70:G70"/>
    <x:mergeCell ref="C91:D91"/>
    <x:mergeCell ref="E93:F93"/>
    <x:mergeCell ref="E98:H98"/>
    <x:mergeCell ref="D99:E99"/>
    <x:mergeCell ref="G99:H99"/>
    <x:mergeCell ref="B7:B8"/>
    <x:mergeCell ref="B13:B14"/>
    <x:mergeCell ref="B52:B53"/>
    <x:mergeCell ref="B58:B59"/>
    <x:mergeCell ref="G7:G8"/>
    <x:mergeCell ref="G11:G12"/>
    <x:mergeCell ref="G15:G16"/>
    <x:mergeCell ref="G52:G53"/>
    <x:mergeCell ref="G56:G57"/>
    <x:mergeCell ref="G60:G61"/>
    <x:mergeCell ref="H11:H12"/>
    <x:mergeCell ref="H15:H16"/>
    <x:mergeCell ref="H56:H57"/>
    <x:mergeCell ref="H60:H61"/>
    <x:mergeCell ref="B3:H4"/>
    <x:mergeCell ref="C15:F16"/>
    <x:mergeCell ref="B48:H49"/>
    <x:mergeCell ref="C60:F61"/>
  </x:mergeCells>
  <x:conditionalFormatting sqref="C17:C17">
    <x:cfRule type="cellIs" dxfId="0" priority="3" stopIfTrue="1" operator="equal">
      <x:formula>0</x:formula>
    </x:cfRule>
  </x:conditionalFormatting>
  <x:conditionalFormatting sqref="C62:C62">
    <x:cfRule type="cellIs" dxfId="0" priority="1" stopIfTrue="1" operator="equal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3.5"/>
  <x:cols>
    <x:col min="1" max="1" width="6.066666603088379" customWidth="1"/>
    <x:col min="2" max="2" width="26.066667556762695" customWidth="1"/>
    <x:col min="3" max="3" width="60.25833511352539" style="517" customWidth="1"/>
    <x:col min="4" max="4" width="13.208333015441895" style="517" customWidth="1"/>
    <x:col min="5" max="6" width="13.199999809265137" customWidth="1"/>
    <x:col min="7" max="8" width="15.358333587646484" customWidth="1"/>
    <x:col min="9" max="9" width="19.233333587646484" customWidth="1"/>
    <x:col min="10" max="10" width="18.358333587646484" customWidth="1"/>
    <x:col min="11" max="12" width="8.616666793823242" customWidth="0"/>
  </x:cols>
  <x:sheetData>
    <x:row r="1" ht="30">
      <x:c r="A1" s="518"/>
      <x:c r="B1" s="519" t="s">
        <x:v>91</x:v>
      </x:c>
      <x:c r="C1" s="519"/>
      <x:c r="D1" s="519"/>
      <x:c r="E1" s="519"/>
      <x:c r="F1" s="519"/>
      <x:c r="G1" s="519"/>
      <x:c r="H1" s="519"/>
      <x:c r="I1" s="519"/>
      <x:c r="J1" s="519"/>
    </x:row>
    <x:row r="2" ht="18">
      <x:c r="A2" s="520"/>
      <x:c r="B2" s="521" t="s">
        <x:v>175</x:v>
      </x:c>
      <x:c r="C2" s="521"/>
      <x:c r="D2" s="521"/>
      <x:c r="E2" s="521"/>
      <x:c r="F2" s="521"/>
      <x:c r="G2" s="521"/>
      <x:c r="H2" s="521"/>
      <x:c r="I2" s="521"/>
      <x:c r="J2" s="521"/>
    </x:row>
    <x:row r="3" ht="30.950000762939453" customHeight="1">
      <x:c r="A3" s="520"/>
      <x:c r="B3" s="521"/>
      <x:c r="C3" s="521"/>
      <x:c r="D3" s="521"/>
      <x:c r="E3" s="521"/>
      <x:c r="F3" s="521"/>
      <x:c r="G3" s="521"/>
      <x:c r="H3" s="521"/>
      <x:c r="I3" s="521"/>
      <x:c r="J3" s="521"/>
    </x:row>
    <x:row r="4" ht="14.100000381469727" customHeight="1">
      <x:c r="A4" s="522"/>
      <x:c r="B4" s="523"/>
      <x:c r="C4" s="523"/>
      <x:c r="D4" s="523"/>
      <x:c r="E4" s="523"/>
      <x:c r="F4" s="523"/>
      <x:c r="G4" s="523"/>
      <x:c r="H4" s="523"/>
      <x:c r="I4" s="523"/>
      <x:c r="J4" s="523"/>
    </x:row>
    <x:row r="5" ht="23.25">
      <x:c r="A5" s="524"/>
      <x:c r="B5" s="525" t="s">
        <x:v>139</x:v>
      </x:c>
      <x:c r="C5" s="525"/>
      <x:c r="D5" s="525"/>
      <x:c r="E5" s="525"/>
      <x:c r="F5" s="525"/>
      <x:c r="G5" s="525"/>
      <x:c r="H5" s="525"/>
      <x:c r="I5" s="525"/>
      <x:c r="J5" s="525"/>
    </x:row>
    <x:row r="6" ht="18">
      <x:c r="A6" s="526"/>
      <x:c r="B6" s="527" t="s">
        <x:v>140</x:v>
      </x:c>
      <x:c r="C6" s="527"/>
      <x:c r="D6" s="527"/>
      <x:c r="E6" s="527"/>
      <x:c r="F6" s="527"/>
      <x:c r="G6" s="527"/>
      <x:c r="H6" s="527"/>
      <x:c r="I6" s="527"/>
      <x:c r="J6" s="527"/>
    </x:row>
    <x:row r="7" ht="18">
      <x:c r="A7" s="526"/>
      <x:c r="B7" s="527"/>
      <x:c r="C7" s="527"/>
      <x:c r="D7" s="527"/>
      <x:c r="E7" s="527"/>
      <x:c r="F7" s="527"/>
      <x:c r="G7" s="527"/>
      <x:c r="H7" s="527"/>
      <x:c r="I7" s="527"/>
      <x:c r="J7" s="527"/>
    </x:row>
    <x:row r="8" ht="24.950000762939453" customHeight="1">
      <x:c r="A8" s="528"/>
      <x:c r="B8" s="529" t="s">
        <x:v>191</x:v>
      </x:c>
      <x:c r="C8" s="529"/>
      <x:c r="D8" s="529"/>
      <x:c r="E8" s="529"/>
      <x:c r="F8" s="529"/>
      <x:c r="G8" s="529"/>
      <x:c r="H8" s="529"/>
      <x:c r="I8" s="530"/>
      <x:c r="J8" s="530"/>
    </x:row>
    <x:row r="9" ht="24.950000762939453" customHeight="1">
      <x:c r="A9" s="531"/>
      <x:c r="B9" s="532" t="s">
        <x:v>192</x:v>
      </x:c>
      <x:c r="C9" s="532"/>
      <x:c r="D9" s="532"/>
      <x:c r="E9" s="532"/>
      <x:c r="F9" s="532"/>
      <x:c r="G9" s="532"/>
      <x:c r="H9" s="532"/>
      <x:c r="I9" s="533"/>
      <x:c r="J9" s="534"/>
    </x:row>
    <x:row r="10" ht="36" customHeight="1">
      <x:c r="A10" s="535"/>
      <x:c r="B10" s="536" t="s">
        <x:v>193</x:v>
      </x:c>
      <x:c r="C10" s="536"/>
      <x:c r="D10" s="536"/>
      <x:c r="E10" s="536"/>
      <x:c r="F10" s="536"/>
      <x:c r="G10" s="536"/>
      <x:c r="H10" s="536"/>
      <x:c r="I10" s="533" t="s">
        <x:v>143</x:v>
      </x:c>
      <x:c r="J10" s="537" t="s">
        <x:v>194</x:v>
      </x:c>
    </x:row>
    <x:row r="11" ht="28" customHeight="1">
      <x:c r="A11" s="528"/>
      <x:c r="B11" s="529" t="s">
        <x:v>182</x:v>
      </x:c>
      <x:c r="C11" s="529"/>
      <x:c r="D11" s="529"/>
      <x:c r="E11" s="529"/>
      <x:c r="F11" s="529"/>
      <x:c r="G11" s="529"/>
      <x:c r="H11" s="529"/>
      <x:c r="I11" s="538"/>
      <x:c r="J11" s="539"/>
    </x:row>
    <x:row r="12" ht="34" customHeight="1">
      <x:c r="A12" s="528"/>
      <x:c r="B12" s="529"/>
      <x:c r="C12" s="529"/>
      <x:c r="D12" s="529"/>
      <x:c r="E12" s="529"/>
      <x:c r="F12" s="529"/>
      <x:c r="G12" s="529"/>
      <x:c r="H12" s="529"/>
      <x:c r="I12" s="538" t="s">
        <x:v>146</x:v>
      </x:c>
      <x:c r="J12" s="540" t="e">
        <x:f>印尼合同!H11</x:f>
        <x:v>#NAME?</x:v>
      </x:c>
    </x:row>
    <x:row r="13" ht="26.100000381469727" customHeight="1">
      <x:c r="A13" s="528"/>
      <x:c r="B13" s="541" t="s">
        <x:v>91</x:v>
      </x:c>
      <x:c r="C13" s="541"/>
      <x:c r="D13" s="541"/>
      <x:c r="E13" s="542"/>
      <x:c r="F13" s="542"/>
      <x:c r="G13" s="542"/>
      <x:c r="H13" s="542"/>
      <x:c r="I13" s="538"/>
      <x:c r="J13" s="543"/>
    </x:row>
    <x:row r="14" ht="24.950000762939453" customHeight="1">
      <x:c r="A14" s="531"/>
      <x:c r="B14" s="544" t="s">
        <x:v>92</x:v>
      </x:c>
      <x:c r="C14" s="544"/>
      <x:c r="D14" s="544"/>
      <x:c r="E14" s="544"/>
      <x:c r="F14" s="544"/>
      <x:c r="G14" s="544"/>
      <x:c r="H14" s="544"/>
      <x:c r="I14" s="538" t="s">
        <x:v>148</x:v>
      </x:c>
      <x:c r="J14" s="543" t="e">
        <x:f>印尼合同!H7</x:f>
        <x:v>#NAME?</x:v>
      </x:c>
    </x:row>
    <x:row r="15" ht="18">
      <x:c r="A15" s="531"/>
      <x:c r="B15" s="544"/>
      <x:c r="C15" s="544"/>
      <x:c r="D15" s="544"/>
      <x:c r="E15" s="544"/>
      <x:c r="F15" s="544"/>
      <x:c r="G15" s="544"/>
      <x:c r="H15" s="544"/>
      <x:c r="I15" s="538"/>
      <x:c r="J15" s="545"/>
    </x:row>
    <x:row r="16" ht="18">
      <x:c r="A16" s="546"/>
      <x:c r="B16" s="547" t="s">
        <x:v>151</x:v>
      </x:c>
      <x:c r="C16" s="548"/>
      <x:c r="D16" s="548"/>
      <x:c r="E16" s="548"/>
      <x:c r="F16" s="549"/>
      <x:c r="G16" s="550"/>
      <x:c r="H16" s="551"/>
      <x:c r="I16" s="538" t="s">
        <x:v>149</x:v>
      </x:c>
      <x:c r="J16" s="493" t="s">
        <x:v>150</x:v>
      </x:c>
    </x:row>
    <x:row r="17" ht="18">
      <x:c r="A17" s="546"/>
      <x:c r="B17" s="547" t="s">
        <x:v>152</x:v>
      </x:c>
      <x:c r="C17" s="548"/>
      <x:c r="D17" s="548"/>
      <x:c r="E17" s="552"/>
      <x:c r="F17" s="549"/>
      <x:c r="G17" s="550"/>
      <x:c r="H17" s="551"/>
      <x:c r="I17" s="538"/>
      <x:c r="J17" s="553"/>
    </x:row>
    <x:row r="18" ht="18">
      <x:c r="A18" s="531"/>
      <x:c r="B18" s="544" t="s">
        <x:v>94</x:v>
      </x:c>
      <x:c r="C18" s="544"/>
      <x:c r="D18" s="544"/>
      <x:c r="E18" s="544"/>
      <x:c r="F18" s="544"/>
      <x:c r="G18" s="544"/>
      <x:c r="H18" s="544"/>
      <x:c r="I18" s="554"/>
      <x:c r="J18" s="555"/>
    </x:row>
    <x:row r="19" ht="18">
      <x:c r="A19" s="556"/>
      <x:c r="B19" s="546" t="s">
        <x:v>153</x:v>
      </x:c>
      <x:c r="C19" s="557"/>
      <x:c r="D19" s="557"/>
      <x:c r="E19" s="557"/>
      <x:c r="F19" s="557"/>
      <x:c r="G19" s="557"/>
      <x:c r="H19" s="557"/>
      <x:c r="I19" s="554"/>
      <x:c r="J19" s="555"/>
    </x:row>
    <x:row r="20" ht="14.25">
      <x:c r="B20" s="558"/>
      <x:c r="C20" s="559"/>
      <x:c r="D20" s="559"/>
      <x:c r="E20" s="558"/>
      <x:c r="F20" s="558"/>
      <x:c r="G20" s="560"/>
      <x:c r="H20" s="560"/>
      <x:c r="I20" s="558"/>
      <x:c r="J20" s="558"/>
    </x:row>
    <x:row r="21" ht="31.5">
      <x:c r="B21" s="561" t="s">
        <x:v>157</x:v>
      </x:c>
      <x:c r="C21" s="562" t="s">
        <x:v>158</x:v>
      </x:c>
      <x:c r="D21" s="563"/>
      <x:c r="E21" s="563"/>
      <x:c r="F21" s="564"/>
      <x:c r="G21" s="565" t="s">
        <x:v>159</x:v>
      </x:c>
      <x:c r="H21" s="566"/>
      <x:c r="I21" s="567" t="s">
        <x:v>160</x:v>
      </x:c>
      <x:c r="J21" s="568"/>
    </x:row>
    <x:row r="22" ht="31.5">
      <x:c r="B22" s="561" t="s">
        <x:v>161</x:v>
      </x:c>
      <x:c r="C22" s="569" t="s">
        <x:v>162</x:v>
      </x:c>
      <x:c r="D22" s="570" t="s">
        <x:v>163</x:v>
      </x:c>
      <x:c r="E22" s="571" t="s">
        <x:v>28</x:v>
      </x:c>
      <x:c r="F22" s="361" t="s">
        <x:v>164</x:v>
      </x:c>
      <x:c r="G22" s="570" t="s">
        <x:v>163</x:v>
      </x:c>
      <x:c r="H22" s="571" t="s">
        <x:v>28</x:v>
      </x:c>
      <x:c r="I22" s="561" t="s">
        <x:v>165</x:v>
      </x:c>
      <x:c r="J22" s="561" t="s">
        <x:v>166</x:v>
      </x:c>
    </x:row>
    <x:row r="23" ht="15.75">
      <x:c r="B23" s="572"/>
      <x:c r="C23" s="573"/>
      <x:c r="D23" s="573"/>
      <x:c r="E23" s="572"/>
      <x:c r="F23" s="572"/>
      <x:c r="G23" s="572"/>
      <x:c r="H23" s="574"/>
      <x:c r="I23" s="575" t="s">
        <x:v>129</x:v>
      </x:c>
      <x:c r="J23" s="576"/>
    </x:row>
    <x:row r="24" ht="48" customHeight="1">
      <x:c r="A24">
        <x:v>16</x:v>
      </x:c>
      <x:c r="B24" s="577"/>
      <x:c r="C24" s="577" t="e" cm="1">
        <x:f t="array" ref="C24">LOOKUP(1,0/((WHSU6439229!V:V=$J$14)*(WHSU6439229!X:X=$J$10)*(WHSU6439229!A:A=A24)),WHSU6439229!G:G&amp;WHSU6439229!F:F)</x:f>
        <x:v>#N/A</x:v>
      </x:c>
      <x:c r="D24" s="577" t="e" cm="1">
        <x:f t="array" ref="D24">LOOKUP(1,0/((WHSU6439229!D:D=B24)*(WHSU6439229!G:G&amp;WHSU6439229!F:F=C24)),WHSU6439229!L:L)</x:f>
        <x:v>#N/A</x:v>
      </x:c>
      <x:c r="E24" s="578" t="e" cm="1">
        <x:f t="array" ref="E24">LOOKUP(1,0/((WHSU6439229!D:D=B24)*(WHSU6439229!G:G&amp;WHSU6439229!F:F=C24)),WHSU6439229!M:M)</x:f>
        <x:v>#N/A</x:v>
      </x:c>
      <x:c r="F24" s="579" t="e" cm="1">
        <x:f t="array" ref="F24">LOOKUP(1,0/((WHSU6439229!D:D=B24)*(WHSU6439229!G:G&amp;WHSU6439229!F:F=C24)),WHSU6439229!C:C)</x:f>
        <x:v>#N/A</x:v>
      </x:c>
      <x:c r="G24" s="580" t="e" cm="1">
        <x:f t="array" ref="G24">LOOKUP(1,0/((WHSU6439229!D:D=B24)*(WHSU6439229!G:G&amp;WHSU6439229!F:F=C24)),WHSU6439229!K:K)</x:f>
        <x:v>#N/A</x:v>
      </x:c>
      <x:c r="H24" s="580" t="e" cm="1">
        <x:f t="array" ref="H24">LOOKUP(1,0/((WHSU6439229!D:D=B24)*(WHSU6439229!G:G&amp;WHSU6439229!F:F=C24)),WHSU6439229!J:J)</x:f>
        <x:v>#N/A</x:v>
      </x:c>
      <x:c r="I24" s="581" t="e" cm="1">
        <x:f t="array" ref="I24">LOOKUP(1,0/((WHSU6439229!D:D=B24)*(WHSU6439229!G:G&amp;WHSU6439229!F:F=C24)),WHSU6439229!Z:Z)</x:f>
        <x:v>#N/A</x:v>
      </x:c>
      <x:c r="J24" s="582" t="e">
        <x:f>I24*G24</x:f>
        <x:v>#N/A</x:v>
      </x:c>
    </x:row>
    <x:row r="25" ht="48" customHeight="1">
      <x:c r="A25">
        <x:v>17</x:v>
      </x:c>
      <x:c r="B25" s="577"/>
      <x:c r="C25" s="577" t="e" cm="1">
        <x:f t="array" ref="C25">LOOKUP(1,0/((WHSU6439229!V:V=$J$14)*(WHSU6439229!X:X=$J$10)*(WHSU6439229!A:A=A25)),WHSU6439229!G:G&amp;WHSU6439229!F:F)</x:f>
        <x:v>#N/A</x:v>
      </x:c>
      <x:c r="D25" s="577" t="e" cm="1">
        <x:f t="array" ref="D25">LOOKUP(1,0/((WHSU6439229!D:D=B25)*(WHSU6439229!G:G&amp;WHSU6439229!F:F=C25)),WHSU6439229!L:L)</x:f>
        <x:v>#N/A</x:v>
      </x:c>
      <x:c r="E25" s="578" t="e" cm="1">
        <x:f t="array" ref="E25">LOOKUP(1,0/((WHSU6439229!D:D=B25)*(WHSU6439229!G:G&amp;WHSU6439229!F:F=C25)),WHSU6439229!M:M)</x:f>
        <x:v>#N/A</x:v>
      </x:c>
      <x:c r="F25" s="579" t="e" cm="1">
        <x:f t="array" ref="F25">LOOKUP(1,0/((WHSU6439229!D:D=B25)*(WHSU6439229!G:G&amp;WHSU6439229!F:F=C25)),WHSU6439229!C:C)</x:f>
        <x:v>#N/A</x:v>
      </x:c>
      <x:c r="G25" s="580" t="e" cm="1">
        <x:f t="array" ref="G25">LOOKUP(1,0/((WHSU6439229!D:D=B25)*(WHSU6439229!G:G&amp;WHSU6439229!F:F=C25)),WHSU6439229!K:K)</x:f>
        <x:v>#N/A</x:v>
      </x:c>
      <x:c r="H25" s="580" t="e" cm="1">
        <x:f t="array" ref="H25">LOOKUP(1,0/((WHSU6439229!D:D=B25)*(WHSU6439229!G:G&amp;WHSU6439229!F:F=C25)),WHSU6439229!J:J)</x:f>
        <x:v>#N/A</x:v>
      </x:c>
      <x:c r="I25" s="581" t="e" cm="1">
        <x:f t="array" ref="I25">LOOKUP(1,0/((WHSU6439229!D:D=B25)*(WHSU6439229!G:G&amp;WHSU6439229!F:F=C25)),WHSU6439229!Z:Z)</x:f>
        <x:v>#N/A</x:v>
      </x:c>
      <x:c r="J25" s="582" t="e">
        <x:f>I25*G25</x:f>
        <x:v>#N/A</x:v>
      </x:c>
    </x:row>
    <x:row r="26" ht="48" customHeight="1">
      <x:c r="B26" s="577"/>
      <x:c r="C26" s="577"/>
      <x:c r="D26" s="577"/>
      <x:c r="E26" s="578"/>
      <x:c r="F26" s="579"/>
      <x:c r="G26" s="580"/>
      <x:c r="H26" s="580"/>
      <x:c r="I26" s="581"/>
      <x:c r="J26" s="582"/>
    </x:row>
    <x:row r="27" ht="48" customHeight="1">
      <x:c r="B27" s="577"/>
      <x:c r="C27" s="577"/>
      <x:c r="D27" s="577"/>
      <x:c r="E27" s="578"/>
      <x:c r="F27" s="579"/>
      <x:c r="G27" s="580"/>
      <x:c r="H27" s="580"/>
      <x:c r="I27" s="581"/>
      <x:c r="J27" s="582"/>
    </x:row>
    <x:row r="28" ht="48" customHeight="1">
      <x:c r="B28" s="577"/>
      <x:c r="C28" s="577"/>
      <x:c r="D28" s="577"/>
      <x:c r="E28" s="578"/>
      <x:c r="F28" s="579"/>
      <x:c r="G28" s="580"/>
      <x:c r="H28" s="580"/>
      <x:c r="I28" s="581"/>
      <x:c r="J28" s="582"/>
    </x:row>
    <x:row r="29" ht="48" customHeight="1">
      <x:c r="B29" s="577"/>
      <x:c r="C29" s="577"/>
      <x:c r="D29" s="577"/>
      <x:c r="E29" s="578"/>
      <x:c r="F29" s="579"/>
      <x:c r="G29" s="580"/>
      <x:c r="H29" s="580"/>
      <x:c r="I29" s="581"/>
      <x:c r="J29" s="582"/>
    </x:row>
    <x:row r="30" ht="25" customHeight="1">
      <x:c r="B30" s="583"/>
      <x:c r="C30" s="584"/>
      <x:c r="D30" s="584"/>
      <x:c r="E30" s="583"/>
      <x:c r="F30" s="583"/>
      <x:c r="G30" s="585" t="s">
        <x:v>167</x:v>
      </x:c>
      <x:c r="H30" s="586"/>
      <x:c r="I30" s="587" t="e">
        <x:f>SUM(J24:J29)</x:f>
        <x:v>#N/A</x:v>
      </x:c>
      <x:c r="J30" s="588"/>
    </x:row>
    <x:row r="31" ht="36" customHeight="1">
      <x:c r="B31" s="589" t="s">
        <x:v>168</x:v>
      </x:c>
      <x:c r="C31" s="590" t="e">
        <x:f>I30</x:f>
        <x:v>#N/A</x:v>
      </x:c>
      <x:c r="D31" s="591"/>
      <x:c r="E31" s="591"/>
      <x:c r="F31" s="592"/>
      <x:c r="G31" s="593"/>
      <x:c r="H31" s="593"/>
      <x:c r="I31" s="593"/>
      <x:c r="J31" s="593"/>
    </x:row>
    <x:row r="33" ht="30">
      <x:c r="A33" s="518"/>
      <x:c r="B33" s="519" t="s">
        <x:v>91</x:v>
      </x:c>
      <x:c r="C33" s="519"/>
      <x:c r="D33" s="519"/>
      <x:c r="E33" s="519"/>
      <x:c r="F33" s="519"/>
      <x:c r="G33" s="519"/>
      <x:c r="H33" s="519"/>
      <x:c r="I33" s="519"/>
      <x:c r="J33" s="519"/>
    </x:row>
    <x:row r="34" ht="18">
      <x:c r="A34" s="520"/>
      <x:c r="B34" s="521" t="s">
        <x:v>175</x:v>
      </x:c>
      <x:c r="C34" s="521"/>
      <x:c r="D34" s="521"/>
      <x:c r="E34" s="521"/>
      <x:c r="F34" s="521"/>
      <x:c r="G34" s="521"/>
      <x:c r="H34" s="521"/>
      <x:c r="I34" s="521"/>
      <x:c r="J34" s="521"/>
    </x:row>
    <x:row r="35" ht="30.950000762939453" customHeight="1">
      <x:c r="A35" s="520"/>
      <x:c r="B35" s="521"/>
      <x:c r="C35" s="521"/>
      <x:c r="D35" s="521"/>
      <x:c r="E35" s="521"/>
      <x:c r="F35" s="521"/>
      <x:c r="G35" s="521"/>
      <x:c r="H35" s="521"/>
      <x:c r="I35" s="521"/>
      <x:c r="J35" s="521"/>
    </x:row>
    <x:row r="36" ht="14.100000381469727" customHeight="1">
      <x:c r="A36" s="522"/>
      <x:c r="B36" s="523"/>
      <x:c r="C36" s="523"/>
      <x:c r="D36" s="523"/>
      <x:c r="E36" s="523"/>
      <x:c r="F36" s="523"/>
      <x:c r="G36" s="523"/>
      <x:c r="H36" s="523"/>
      <x:c r="I36" s="523"/>
      <x:c r="J36" s="523"/>
    </x:row>
    <x:row r="37" ht="23.25">
      <x:c r="A37" s="524"/>
      <x:c r="B37" s="525" t="s">
        <x:v>139</x:v>
      </x:c>
      <x:c r="C37" s="525"/>
      <x:c r="D37" s="525"/>
      <x:c r="E37" s="525"/>
      <x:c r="F37" s="525"/>
      <x:c r="G37" s="525"/>
      <x:c r="H37" s="525"/>
      <x:c r="I37" s="525"/>
      <x:c r="J37" s="525"/>
    </x:row>
    <x:row r="38" ht="18">
      <x:c r="A38" s="526"/>
      <x:c r="B38" s="527" t="s">
        <x:v>140</x:v>
      </x:c>
      <x:c r="C38" s="527"/>
      <x:c r="D38" s="527"/>
      <x:c r="E38" s="527"/>
      <x:c r="F38" s="527"/>
      <x:c r="G38" s="527"/>
      <x:c r="H38" s="527"/>
      <x:c r="I38" s="527"/>
      <x:c r="J38" s="527"/>
    </x:row>
    <x:row r="39" ht="18">
      <x:c r="A39" s="526"/>
      <x:c r="B39" s="527"/>
      <x:c r="C39" s="527"/>
      <x:c r="D39" s="527"/>
      <x:c r="E39" s="527"/>
      <x:c r="F39" s="527"/>
      <x:c r="G39" s="527"/>
      <x:c r="H39" s="527"/>
      <x:c r="I39" s="527"/>
      <x:c r="J39" s="527"/>
    </x:row>
    <x:row r="40" ht="24.950000762939453" customHeight="1">
      <x:c r="A40" s="528"/>
      <x:c r="B40" s="529" t="s">
        <x:v>191</x:v>
      </x:c>
      <x:c r="C40" s="529"/>
      <x:c r="D40" s="529"/>
      <x:c r="E40" s="529"/>
      <x:c r="F40" s="529"/>
      <x:c r="G40" s="529"/>
      <x:c r="H40" s="529"/>
      <x:c r="I40" s="530"/>
      <x:c r="J40" s="530"/>
    </x:row>
    <x:row r="41" ht="24.950000762939453" customHeight="1">
      <x:c r="A41" s="531"/>
      <x:c r="B41" s="532" t="s">
        <x:v>192</x:v>
      </x:c>
      <x:c r="C41" s="532"/>
      <x:c r="D41" s="532"/>
      <x:c r="E41" s="532"/>
      <x:c r="F41" s="532"/>
      <x:c r="G41" s="532"/>
      <x:c r="H41" s="532"/>
      <x:c r="I41" s="533"/>
      <x:c r="J41" s="534"/>
    </x:row>
    <x:row r="42" ht="36" customHeight="1">
      <x:c r="A42" s="535"/>
      <x:c r="B42" s="536" t="s">
        <x:v>193</x:v>
      </x:c>
      <x:c r="C42" s="536"/>
      <x:c r="D42" s="536"/>
      <x:c r="E42" s="536"/>
      <x:c r="F42" s="536"/>
      <x:c r="G42" s="536"/>
      <x:c r="H42" s="536"/>
      <x:c r="I42" s="533" t="s">
        <x:v>143</x:v>
      </x:c>
      <x:c r="J42" s="537" t="s">
        <x:v>195</x:v>
      </x:c>
    </x:row>
    <x:row r="43" ht="28" customHeight="1">
      <x:c r="A43" s="528"/>
      <x:c r="B43" s="529" t="s">
        <x:v>182</x:v>
      </x:c>
      <x:c r="C43" s="529"/>
      <x:c r="D43" s="529"/>
      <x:c r="E43" s="529"/>
      <x:c r="F43" s="529"/>
      <x:c r="G43" s="529"/>
      <x:c r="H43" s="529"/>
      <x:c r="I43" s="538"/>
      <x:c r="J43" s="539"/>
    </x:row>
    <x:row r="44" ht="34" customHeight="1">
      <x:c r="A44" s="528"/>
      <x:c r="B44" s="529"/>
      <x:c r="C44" s="529"/>
      <x:c r="D44" s="529"/>
      <x:c r="E44" s="529"/>
      <x:c r="F44" s="529"/>
      <x:c r="G44" s="529"/>
      <x:c r="H44" s="529"/>
      <x:c r="I44" s="538" t="s">
        <x:v>146</x:v>
      </x:c>
      <x:c r="J44" s="540" t="e">
        <x:f>J12</x:f>
        <x:v>#NAME?</x:v>
      </x:c>
    </x:row>
    <x:row r="45" ht="26.100000381469727" customHeight="1">
      <x:c r="A45" s="528"/>
      <x:c r="B45" s="541" t="s">
        <x:v>91</x:v>
      </x:c>
      <x:c r="C45" s="541"/>
      <x:c r="D45" s="541"/>
      <x:c r="E45" s="542"/>
      <x:c r="F45" s="542"/>
      <x:c r="G45" s="542"/>
      <x:c r="H45" s="542"/>
      <x:c r="I45" s="538"/>
      <x:c r="J45" s="543"/>
    </x:row>
    <x:row r="46" ht="24.950000762939453" customHeight="1">
      <x:c r="A46" s="531"/>
      <x:c r="B46" s="544" t="s">
        <x:v>92</x:v>
      </x:c>
      <x:c r="C46" s="544"/>
      <x:c r="D46" s="544"/>
      <x:c r="E46" s="544"/>
      <x:c r="F46" s="544"/>
      <x:c r="G46" s="544"/>
      <x:c r="H46" s="544"/>
      <x:c r="I46" s="538" t="s">
        <x:v>148</x:v>
      </x:c>
      <x:c r="J46" s="543" t="e">
        <x:f>印尼合同!H52</x:f>
        <x:v>#NAME?</x:v>
      </x:c>
    </x:row>
    <x:row r="47" ht="18">
      <x:c r="A47" s="531"/>
      <x:c r="B47" s="544"/>
      <x:c r="C47" s="544"/>
      <x:c r="D47" s="544"/>
      <x:c r="E47" s="544"/>
      <x:c r="F47" s="544"/>
      <x:c r="G47" s="544"/>
      <x:c r="H47" s="544"/>
      <x:c r="I47" s="538"/>
      <x:c r="J47" s="545"/>
    </x:row>
    <x:row r="48" ht="18">
      <x:c r="A48" s="546"/>
      <x:c r="B48" s="547" t="s">
        <x:v>151</x:v>
      </x:c>
      <x:c r="C48" s="548"/>
      <x:c r="D48" s="548"/>
      <x:c r="E48" s="548"/>
      <x:c r="F48" s="549"/>
      <x:c r="G48" s="550"/>
      <x:c r="H48" s="551"/>
      <x:c r="I48" s="538" t="s">
        <x:v>149</x:v>
      </x:c>
      <x:c r="J48" s="493" t="s">
        <x:v>150</x:v>
      </x:c>
    </x:row>
    <x:row r="49" ht="18">
      <x:c r="A49" s="546"/>
      <x:c r="B49" s="547" t="s">
        <x:v>152</x:v>
      </x:c>
      <x:c r="C49" s="548"/>
      <x:c r="D49" s="548"/>
      <x:c r="E49" s="552"/>
      <x:c r="F49" s="549"/>
      <x:c r="G49" s="550"/>
      <x:c r="H49" s="551"/>
      <x:c r="I49" s="538"/>
      <x:c r="J49" s="553"/>
    </x:row>
    <x:row r="50" ht="18">
      <x:c r="A50" s="531"/>
      <x:c r="B50" s="544" t="s">
        <x:v>94</x:v>
      </x:c>
      <x:c r="C50" s="544"/>
      <x:c r="D50" s="544"/>
      <x:c r="E50" s="544"/>
      <x:c r="F50" s="544"/>
      <x:c r="G50" s="544"/>
      <x:c r="H50" s="544"/>
      <x:c r="I50" s="554"/>
      <x:c r="J50" s="555"/>
    </x:row>
    <x:row r="51" ht="18">
      <x:c r="A51" s="556"/>
      <x:c r="B51" s="546" t="s">
        <x:v>153</x:v>
      </x:c>
      <x:c r="C51" s="557"/>
      <x:c r="D51" s="557"/>
      <x:c r="E51" s="557"/>
      <x:c r="F51" s="557"/>
      <x:c r="G51" s="557"/>
      <x:c r="H51" s="557"/>
      <x:c r="I51" s="554"/>
      <x:c r="J51" s="555"/>
    </x:row>
    <x:row r="52" ht="14.25">
      <x:c r="B52" s="558"/>
      <x:c r="C52" s="559"/>
      <x:c r="D52" s="559"/>
      <x:c r="E52" s="558"/>
      <x:c r="F52" s="558"/>
      <x:c r="G52" s="560"/>
      <x:c r="H52" s="560"/>
      <x:c r="I52" s="558"/>
      <x:c r="J52" s="558"/>
    </x:row>
    <x:row r="53" ht="31.5">
      <x:c r="B53" s="561" t="s">
        <x:v>157</x:v>
      </x:c>
      <x:c r="C53" s="562" t="s">
        <x:v>158</x:v>
      </x:c>
      <x:c r="D53" s="563"/>
      <x:c r="E53" s="563"/>
      <x:c r="F53" s="564"/>
      <x:c r="G53" s="565" t="s">
        <x:v>159</x:v>
      </x:c>
      <x:c r="H53" s="566"/>
      <x:c r="I53" s="567" t="s">
        <x:v>160</x:v>
      </x:c>
      <x:c r="J53" s="568"/>
    </x:row>
    <x:row r="54" ht="31.5">
      <x:c r="B54" s="561" t="s">
        <x:v>161</x:v>
      </x:c>
      <x:c r="C54" s="569" t="s">
        <x:v>162</x:v>
      </x:c>
      <x:c r="D54" s="570" t="s">
        <x:v>163</x:v>
      </x:c>
      <x:c r="E54" s="571" t="s">
        <x:v>28</x:v>
      </x:c>
      <x:c r="F54" s="361" t="s">
        <x:v>164</x:v>
      </x:c>
      <x:c r="G54" s="570" t="s">
        <x:v>163</x:v>
      </x:c>
      <x:c r="H54" s="571" t="s">
        <x:v>28</x:v>
      </x:c>
      <x:c r="I54" s="561" t="s">
        <x:v>165</x:v>
      </x:c>
      <x:c r="J54" s="561" t="s">
        <x:v>166</x:v>
      </x:c>
    </x:row>
    <x:row r="55" ht="15.75">
      <x:c r="B55" s="572"/>
      <x:c r="C55" s="573"/>
      <x:c r="D55" s="573"/>
      <x:c r="E55" s="572"/>
      <x:c r="F55" s="572"/>
      <x:c r="G55" s="572"/>
      <x:c r="H55" s="574"/>
      <x:c r="I55" s="575" t="s">
        <x:v>129</x:v>
      </x:c>
      <x:c r="J55" s="576"/>
    </x:row>
    <x:row r="56" ht="48" customHeight="1">
      <x:c r="A56">
        <x:v>18</x:v>
      </x:c>
      <x:c r="B56" s="577"/>
      <x:c r="C56" s="577" t="e" cm="1">
        <x:f t="array" ref="C56">LOOKUP(1,0/((WHSU6439229!V:V=$J$46)*(WHSU6439229!X:X=$J$42)*(WHSU6439229!A:A=A56)),WHSU6439229!G:G&amp;WHSU6439229!F:F)</x:f>
        <x:v>#N/A</x:v>
      </x:c>
      <x:c r="D56" s="577" t="e" cm="1">
        <x:f t="array" ref="D56">LOOKUP(1,0/((WHSU6439229!D:D=B56)*(WHSU6439229!G:G&amp;WHSU6439229!F:F=C56)),WHSU6439229!L:L)</x:f>
        <x:v>#N/A</x:v>
      </x:c>
      <x:c r="E56" s="578" t="e" cm="1">
        <x:f t="array" ref="E56">LOOKUP(1,0/((WHSU6439229!D:D=B56)*(WHSU6439229!G:G&amp;WHSU6439229!F:F=C56)),WHSU6439229!M:M)</x:f>
        <x:v>#N/A</x:v>
      </x:c>
      <x:c r="F56" s="579" t="e" cm="1">
        <x:f t="array" ref="F56">LOOKUP(1,0/((WHSU6439229!D:D=B56)*(WHSU6439229!G:G&amp;WHSU6439229!F:F=C56)),WHSU6439229!C:C)</x:f>
        <x:v>#N/A</x:v>
      </x:c>
      <x:c r="G56" s="580" t="e" cm="1">
        <x:f t="array" ref="G56">LOOKUP(1,0/((WHSU6439229!D:D=B56)*(WHSU6439229!G:G&amp;WHSU6439229!F:F=C56)),WHSU6439229!K:K)</x:f>
        <x:v>#N/A</x:v>
      </x:c>
      <x:c r="H56" s="580" t="e" cm="1">
        <x:f t="array" ref="H56">LOOKUP(1,0/((WHSU6439229!D:D=B56)*(WHSU6439229!G:G&amp;WHSU6439229!F:F=C56)),WHSU6439229!J:J)</x:f>
        <x:v>#N/A</x:v>
      </x:c>
      <x:c r="I56" s="581" t="e" cm="1">
        <x:f t="array" ref="I56">LOOKUP(1,0/((WHSU6439229!D:D=B56)*(WHSU6439229!G:G&amp;WHSU6439229!F:F=C56)),WHSU6439229!Z:Z)</x:f>
        <x:v>#N/A</x:v>
      </x:c>
      <x:c r="J56" s="582" t="e">
        <x:f>I56*G56</x:f>
        <x:v>#N/A</x:v>
      </x:c>
    </x:row>
    <x:row r="57" ht="48" customHeight="1">
      <x:c r="A57">
        <x:v>19</x:v>
      </x:c>
      <x:c r="B57" s="577"/>
      <x:c r="C57" s="577" t="e" cm="1">
        <x:f t="array" ref="C57">LOOKUP(1,0/((WHSU6439229!V:V=$J$46)*(WHSU6439229!X:X=$J$42)*(WHSU6439229!A:A=A57)),WHSU6439229!G:G&amp;WHSU6439229!F:F)</x:f>
        <x:v>#N/A</x:v>
      </x:c>
      <x:c r="D57" s="577" t="e" cm="1">
        <x:f t="array" ref="D57">LOOKUP(1,0/((WHSU6439229!D:D=B57)*(WHSU6439229!G:G&amp;WHSU6439229!F:F=C57)),WHSU6439229!L:L)</x:f>
        <x:v>#N/A</x:v>
      </x:c>
      <x:c r="E57" s="578" t="e" cm="1">
        <x:f t="array" ref="E57">LOOKUP(1,0/((WHSU6439229!D:D=B57)*(WHSU6439229!G:G&amp;WHSU6439229!F:F=C57)),WHSU6439229!M:M)</x:f>
        <x:v>#N/A</x:v>
      </x:c>
      <x:c r="F57" s="579" t="e" cm="1">
        <x:f t="array" ref="F57">LOOKUP(1,0/((WHSU6439229!D:D=B57)*(WHSU6439229!G:G&amp;WHSU6439229!F:F=C57)),WHSU6439229!C:C)</x:f>
        <x:v>#N/A</x:v>
      </x:c>
      <x:c r="G57" s="580" t="e" cm="1">
        <x:f t="array" ref="G57">LOOKUP(1,0/((WHSU6439229!D:D=B57)*(WHSU6439229!G:G&amp;WHSU6439229!F:F=C57)),WHSU6439229!K:K)</x:f>
        <x:v>#N/A</x:v>
      </x:c>
      <x:c r="H57" s="580" t="e" cm="1">
        <x:f t="array" ref="H57">LOOKUP(1,0/((WHSU6439229!D:D=B57)*(WHSU6439229!G:G&amp;WHSU6439229!F:F=C57)),WHSU6439229!J:J)</x:f>
        <x:v>#N/A</x:v>
      </x:c>
      <x:c r="I57" s="581" t="e" cm="1">
        <x:f t="array" ref="I57">LOOKUP(1,0/((WHSU6439229!D:D=B57)*(WHSU6439229!G:G&amp;WHSU6439229!F:F=C57)),WHSU6439229!Z:Z)</x:f>
        <x:v>#N/A</x:v>
      </x:c>
      <x:c r="J57" s="582" t="e">
        <x:f>I57*G57</x:f>
        <x:v>#N/A</x:v>
      </x:c>
    </x:row>
    <x:row r="58" ht="48" customHeight="1">
      <x:c r="A58">
        <x:v>20</x:v>
      </x:c>
      <x:c r="B58" s="577"/>
      <x:c r="C58" s="577" t="e" cm="1">
        <x:f t="array" ref="C58">LOOKUP(1,0/((WHSU6439229!V:V=$J$46)*(WHSU6439229!X:X=$J$42)*(WHSU6439229!A:A=A58)),WHSU6439229!G:G&amp;WHSU6439229!F:F)</x:f>
        <x:v>#N/A</x:v>
      </x:c>
      <x:c r="D58" s="577" t="e" cm="1">
        <x:f t="array" ref="D58">LOOKUP(1,0/((WHSU6439229!D:D=B58)*(WHSU6439229!G:G&amp;WHSU6439229!F:F=C58)),WHSU6439229!L:L)</x:f>
        <x:v>#N/A</x:v>
      </x:c>
      <x:c r="E58" s="578" t="e" cm="1">
        <x:f t="array" ref="E58">LOOKUP(1,0/((WHSU6439229!D:D=B58)*(WHSU6439229!G:G&amp;WHSU6439229!F:F=C58)),WHSU6439229!M:M)</x:f>
        <x:v>#N/A</x:v>
      </x:c>
      <x:c r="F58" s="579" t="e" cm="1">
        <x:f t="array" ref="F58">LOOKUP(1,0/((WHSU6439229!D:D=B58)*(WHSU6439229!G:G&amp;WHSU6439229!F:F=C58)),WHSU6439229!C:C)</x:f>
        <x:v>#N/A</x:v>
      </x:c>
      <x:c r="G58" s="580" t="e" cm="1">
        <x:f t="array" ref="G58">LOOKUP(1,0/((WHSU6439229!D:D=B58)*(WHSU6439229!G:G&amp;WHSU6439229!F:F=C58)),WHSU6439229!K:K)</x:f>
        <x:v>#N/A</x:v>
      </x:c>
      <x:c r="H58" s="580" t="e" cm="1">
        <x:f t="array" ref="H58">LOOKUP(1,0/((WHSU6439229!D:D=B58)*(WHSU6439229!G:G&amp;WHSU6439229!F:F=C58)),WHSU6439229!J:J)</x:f>
        <x:v>#N/A</x:v>
      </x:c>
      <x:c r="I58" s="581" t="e" cm="1">
        <x:f t="array" ref="I58">LOOKUP(1,0/((WHSU6439229!D:D=B58)*(WHSU6439229!G:G&amp;WHSU6439229!F:F=C58)),WHSU6439229!Z:Z)</x:f>
        <x:v>#N/A</x:v>
      </x:c>
      <x:c r="J58" s="582" t="e">
        <x:f>I58*G58</x:f>
        <x:v>#N/A</x:v>
      </x:c>
    </x:row>
    <x:row r="59" ht="48" customHeight="1">
      <x:c r="A59">
        <x:v>21</x:v>
      </x:c>
      <x:c r="B59" s="577"/>
      <x:c r="C59" s="577" t="e" cm="1">
        <x:f t="array" ref="C59">LOOKUP(1,0/((WHSU6439229!V:V=$J$46)*(WHSU6439229!X:X=$J$42)*(WHSU6439229!A:A=A59)),WHSU6439229!G:G&amp;WHSU6439229!F:F)</x:f>
        <x:v>#N/A</x:v>
      </x:c>
      <x:c r="D59" s="577" t="e" cm="1">
        <x:f t="array" ref="D59">LOOKUP(1,0/((WHSU6439229!D:D=B59)*(WHSU6439229!G:G&amp;WHSU6439229!F:F=C59)),WHSU6439229!L:L)</x:f>
        <x:v>#N/A</x:v>
      </x:c>
      <x:c r="E59" s="578" t="e" cm="1">
        <x:f t="array" ref="E59">LOOKUP(1,0/((WHSU6439229!D:D=B59)*(WHSU6439229!G:G&amp;WHSU6439229!F:F=C59)),WHSU6439229!M:M)</x:f>
        <x:v>#N/A</x:v>
      </x:c>
      <x:c r="F59" s="579" t="e" cm="1">
        <x:f t="array" ref="F59">LOOKUP(1,0/((WHSU6439229!D:D=B59)*(WHSU6439229!G:G&amp;WHSU6439229!F:F=C59)),WHSU6439229!C:C)</x:f>
        <x:v>#N/A</x:v>
      </x:c>
      <x:c r="G59" s="580" t="e" cm="1">
        <x:f t="array" ref="G59">LOOKUP(1,0/((WHSU6439229!D:D=B59)*(WHSU6439229!G:G&amp;WHSU6439229!F:F=C59)),WHSU6439229!K:K)</x:f>
        <x:v>#N/A</x:v>
      </x:c>
      <x:c r="H59" s="580" t="e" cm="1">
        <x:f t="array" ref="H59">LOOKUP(1,0/((WHSU6439229!D:D=B59)*(WHSU6439229!G:G&amp;WHSU6439229!F:F=C59)),WHSU6439229!J:J)</x:f>
        <x:v>#N/A</x:v>
      </x:c>
      <x:c r="I59" s="581" t="e" cm="1">
        <x:f t="array" ref="I59">LOOKUP(1,0/((WHSU6439229!D:D=B59)*(WHSU6439229!G:G&amp;WHSU6439229!F:F=C59)),WHSU6439229!Z:Z)</x:f>
        <x:v>#N/A</x:v>
      </x:c>
      <x:c r="J59" s="582" t="e">
        <x:f>I59*G59</x:f>
        <x:v>#N/A</x:v>
      </x:c>
    </x:row>
    <x:row r="60" ht="48" customHeight="1">
      <x:c r="A60">
        <x:v>22</x:v>
      </x:c>
      <x:c r="B60" s="577"/>
      <x:c r="C60" s="577" t="e" cm="1">
        <x:f t="array" ref="C60">LOOKUP(1,0/((WHSU6439229!V:V=$J$46)*(WHSU6439229!X:X=$J$42)*(WHSU6439229!A:A=A60)),WHSU6439229!G:G&amp;WHSU6439229!F:F)</x:f>
        <x:v>#N/A</x:v>
      </x:c>
      <x:c r="D60" s="577" t="e" cm="1">
        <x:f t="array" ref="D60">LOOKUP(1,0/((WHSU6439229!D:D=B60)*(WHSU6439229!G:G&amp;WHSU6439229!F:F=C60)),WHSU6439229!L:L)</x:f>
        <x:v>#N/A</x:v>
      </x:c>
      <x:c r="E60" s="578" t="e" cm="1">
        <x:f t="array" ref="E60">LOOKUP(1,0/((WHSU6439229!D:D=B60)*(WHSU6439229!G:G&amp;WHSU6439229!F:F=C60)),WHSU6439229!M:M)</x:f>
        <x:v>#N/A</x:v>
      </x:c>
      <x:c r="F60" s="579" t="e" cm="1">
        <x:f t="array" ref="F60">LOOKUP(1,0/((WHSU6439229!D:D=B60)*(WHSU6439229!G:G&amp;WHSU6439229!F:F=C60)),WHSU6439229!C:C)</x:f>
        <x:v>#N/A</x:v>
      </x:c>
      <x:c r="G60" s="580" t="e" cm="1">
        <x:f t="array" ref="G60">LOOKUP(1,0/((WHSU6439229!D:D=B60)*(WHSU6439229!G:G&amp;WHSU6439229!F:F=C60)),WHSU6439229!K:K)</x:f>
        <x:v>#N/A</x:v>
      </x:c>
      <x:c r="H60" s="580" t="e" cm="1">
        <x:f t="array" ref="H60">LOOKUP(1,0/((WHSU6439229!D:D=B60)*(WHSU6439229!G:G&amp;WHSU6439229!F:F=C60)),WHSU6439229!J:J)</x:f>
        <x:v>#N/A</x:v>
      </x:c>
      <x:c r="I60" s="581" t="e" cm="1">
        <x:f t="array" ref="I60">LOOKUP(1,0/((WHSU6439229!D:D=B60)*(WHSU6439229!G:G&amp;WHSU6439229!F:F=C60)),WHSU6439229!Z:Z)</x:f>
        <x:v>#N/A</x:v>
      </x:c>
      <x:c r="J60" s="582" t="e">
        <x:f>I60*G60</x:f>
        <x:v>#N/A</x:v>
      </x:c>
    </x:row>
    <x:row r="61" ht="48" customHeight="1">
      <x:c r="A61">
        <x:v>23</x:v>
      </x:c>
      <x:c r="B61" s="577"/>
      <x:c r="C61" s="577" t="e" cm="1">
        <x:f t="array" ref="C61">LOOKUP(1,0/((WHSU6439229!V:V=$J$46)*(WHSU6439229!X:X=$J$42)*(WHSU6439229!A:A=A61)),WHSU6439229!G:G&amp;WHSU6439229!F:F)</x:f>
        <x:v>#N/A</x:v>
      </x:c>
      <x:c r="D61" s="577" t="e" cm="1">
        <x:f t="array" ref="D61">LOOKUP(1,0/((WHSU6439229!D:D=B61)*(WHSU6439229!G:G&amp;WHSU6439229!F:F=C61)),WHSU6439229!L:L)</x:f>
        <x:v>#N/A</x:v>
      </x:c>
      <x:c r="E61" s="578" t="e" cm="1">
        <x:f t="array" ref="E61">LOOKUP(1,0/((WHSU6439229!D:D=B61)*(WHSU6439229!G:G&amp;WHSU6439229!F:F=C61)),WHSU6439229!M:M)</x:f>
        <x:v>#N/A</x:v>
      </x:c>
      <x:c r="F61" s="579" t="e" cm="1">
        <x:f t="array" ref="F61">LOOKUP(1,0/((WHSU6439229!D:D=B61)*(WHSU6439229!G:G&amp;WHSU6439229!F:F=C61)),WHSU6439229!C:C)</x:f>
        <x:v>#N/A</x:v>
      </x:c>
      <x:c r="G61" s="580" t="e" cm="1">
        <x:f t="array" ref="G61">LOOKUP(1,0/((WHSU6439229!D:D=B61)*(WHSU6439229!G:G&amp;WHSU6439229!F:F=C61)),WHSU6439229!K:K)</x:f>
        <x:v>#N/A</x:v>
      </x:c>
      <x:c r="H61" s="580" t="e" cm="1">
        <x:f t="array" ref="H61">LOOKUP(1,0/((WHSU6439229!D:D=B61)*(WHSU6439229!G:G&amp;WHSU6439229!F:F=C61)),WHSU6439229!J:J)</x:f>
        <x:v>#N/A</x:v>
      </x:c>
      <x:c r="I61" s="581" t="e" cm="1">
        <x:f t="array" ref="I61">LOOKUP(1,0/((WHSU6439229!D:D=B61)*(WHSU6439229!G:G&amp;WHSU6439229!F:F=C61)),WHSU6439229!Z:Z)</x:f>
        <x:v>#N/A</x:v>
      </x:c>
      <x:c r="J61" s="582" t="e">
        <x:f t="shared" ref="J61:J71" si="0">I61*G61</x:f>
        <x:v>#N/A</x:v>
      </x:c>
    </x:row>
    <x:row r="62" ht="48" customHeight="1">
      <x:c r="A62">
        <x:v>24</x:v>
      </x:c>
      <x:c r="B62" s="577"/>
      <x:c r="C62" s="577" t="e" cm="1">
        <x:f t="array" ref="C62">LOOKUP(1,0/((WHSU6439229!V:V=$J$46)*(WHSU6439229!X:X=$J$42)*(WHSU6439229!A:A=A62)),WHSU6439229!G:G&amp;WHSU6439229!F:F)</x:f>
        <x:v>#N/A</x:v>
      </x:c>
      <x:c r="D62" s="577" t="e" cm="1">
        <x:f t="array" ref="D62">LOOKUP(1,0/((WHSU6439229!D:D=B62)*(WHSU6439229!G:G&amp;WHSU6439229!F:F=C62)),WHSU6439229!L:L)</x:f>
        <x:v>#N/A</x:v>
      </x:c>
      <x:c r="E62" s="578" t="e" cm="1">
        <x:f t="array" ref="E62">LOOKUP(1,0/((WHSU6439229!D:D=B62)*(WHSU6439229!G:G&amp;WHSU6439229!F:F=C62)),WHSU6439229!M:M)</x:f>
        <x:v>#N/A</x:v>
      </x:c>
      <x:c r="F62" s="579" t="e" cm="1">
        <x:f t="array" ref="F62">LOOKUP(1,0/((WHSU6439229!D:D=B62)*(WHSU6439229!G:G&amp;WHSU6439229!F:F=C62)),WHSU6439229!C:C)</x:f>
        <x:v>#N/A</x:v>
      </x:c>
      <x:c r="G62" s="580" t="e" cm="1">
        <x:f t="array" ref="G62">LOOKUP(1,0/((WHSU6439229!D:D=B62)*(WHSU6439229!G:G&amp;WHSU6439229!F:F=C62)),WHSU6439229!K:K)</x:f>
        <x:v>#N/A</x:v>
      </x:c>
      <x:c r="H62" s="580" t="e" cm="1">
        <x:f t="array" ref="H62">LOOKUP(1,0/((WHSU6439229!D:D=B62)*(WHSU6439229!G:G&amp;WHSU6439229!F:F=C62)),WHSU6439229!J:J)</x:f>
        <x:v>#N/A</x:v>
      </x:c>
      <x:c r="I62" s="581" t="e" cm="1">
        <x:f t="array" ref="I62">LOOKUP(1,0/((WHSU6439229!D:D=B62)*(WHSU6439229!G:G&amp;WHSU6439229!F:F=C62)),WHSU6439229!Z:Z)</x:f>
        <x:v>#N/A</x:v>
      </x:c>
      <x:c r="J62" s="582">
        <x:f t="shared" si="0"/>
        <x:v>98.88</x:v>
      </x:c>
    </x:row>
    <x:row r="63" ht="48" customHeight="1">
      <x:c r="A63">
        <x:v>25</x:v>
      </x:c>
      <x:c r="B63" s="577"/>
      <x:c r="C63" s="577" t="e" cm="1">
        <x:f t="array" ref="C63">LOOKUP(1,0/((WHSU6439229!V:V=$J$46)*(WHSU6439229!X:X=$J$42)*(WHSU6439229!A:A=A63)),WHSU6439229!G:G&amp;WHSU6439229!F:F)</x:f>
        <x:v>#N/A</x:v>
      </x:c>
      <x:c r="D63" s="577" t="e" cm="1">
        <x:f t="array" ref="D63">LOOKUP(1,0/((WHSU6439229!D:D=B63)*(WHSU6439229!G:G&amp;WHSU6439229!F:F=C63)),WHSU6439229!L:L)</x:f>
        <x:v>#N/A</x:v>
      </x:c>
      <x:c r="E63" s="578" t="e" cm="1">
        <x:f t="array" ref="E63">LOOKUP(1,0/((WHSU6439229!D:D=B63)*(WHSU6439229!G:G&amp;WHSU6439229!F:F=C63)),WHSU6439229!M:M)</x:f>
        <x:v>#N/A</x:v>
      </x:c>
      <x:c r="F63" s="579" t="e" cm="1">
        <x:f t="array" ref="F63">LOOKUP(1,0/((WHSU6439229!D:D=B63)*(WHSU6439229!G:G&amp;WHSU6439229!F:F=C63)),WHSU6439229!C:C)</x:f>
        <x:v>#N/A</x:v>
      </x:c>
      <x:c r="G63" s="580" t="e" cm="1">
        <x:f t="array" ref="G63">LOOKUP(1,0/((WHSU6439229!D:D=B63)*(WHSU6439229!G:G&amp;WHSU6439229!F:F=C63)),WHSU6439229!K:K)</x:f>
        <x:v>#N/A</x:v>
      </x:c>
      <x:c r="H63" s="580" t="e" cm="1">
        <x:f t="array" ref="H63">LOOKUP(1,0/((WHSU6439229!D:D=B63)*(WHSU6439229!G:G&amp;WHSU6439229!F:F=C63)),WHSU6439229!J:J)</x:f>
        <x:v>#N/A</x:v>
      </x:c>
      <x:c r="I63" s="581" t="e" cm="1">
        <x:f t="array" ref="I63">LOOKUP(1,0/((WHSU6439229!D:D=B63)*(WHSU6439229!G:G&amp;WHSU6439229!F:F=C63)),WHSU6439229!Z:Z)</x:f>
        <x:v>#N/A</x:v>
      </x:c>
      <x:c r="J63" s="582">
        <x:f t="shared" si="0"/>
        <x:v>20.88</x:v>
      </x:c>
    </x:row>
    <x:row r="64" ht="48" customHeight="1">
      <x:c r="A64">
        <x:v>26</x:v>
      </x:c>
      <x:c r="B64" s="577"/>
      <x:c r="C64" s="577" t="e" cm="1">
        <x:f t="array" ref="C64">LOOKUP(1,0/((WHSU6439229!V:V=$J$46)*(WHSU6439229!X:X=$J$42)*(WHSU6439229!A:A=A64)),WHSU6439229!G:G&amp;WHSU6439229!F:F)</x:f>
        <x:v>#N/A</x:v>
      </x:c>
      <x:c r="D64" s="577" t="e" cm="1">
        <x:f t="array" ref="D64">LOOKUP(1,0/((WHSU6439229!D:D=B64)*(WHSU6439229!G:G&amp;WHSU6439229!F:F=C64)),WHSU6439229!L:L)</x:f>
        <x:v>#N/A</x:v>
      </x:c>
      <x:c r="E64" s="578" t="e" cm="1">
        <x:f t="array" ref="E64">LOOKUP(1,0/((WHSU6439229!D:D=B64)*(WHSU6439229!G:G&amp;WHSU6439229!F:F=C64)),WHSU6439229!M:M)</x:f>
        <x:v>#N/A</x:v>
      </x:c>
      <x:c r="F64" s="579" t="e" cm="1">
        <x:f t="array" ref="F64">LOOKUP(1,0/((WHSU6439229!D:D=B64)*(WHSU6439229!G:G&amp;WHSU6439229!F:F=C64)),WHSU6439229!C:C)</x:f>
        <x:v>#N/A</x:v>
      </x:c>
      <x:c r="G64" s="580" t="e" cm="1">
        <x:f t="array" ref="G64">LOOKUP(1,0/((WHSU6439229!D:D=B64)*(WHSU6439229!G:G&amp;WHSU6439229!F:F=C64)),WHSU6439229!K:K)</x:f>
        <x:v>#N/A</x:v>
      </x:c>
      <x:c r="H64" s="580" t="e" cm="1">
        <x:f t="array" ref="H64">LOOKUP(1,0/((WHSU6439229!D:D=B64)*(WHSU6439229!G:G&amp;WHSU6439229!F:F=C64)),WHSU6439229!J:J)</x:f>
        <x:v>#N/A</x:v>
      </x:c>
      <x:c r="I64" s="581" t="e" cm="1">
        <x:f t="array" ref="I64">LOOKUP(1,0/((WHSU6439229!D:D=B64)*(WHSU6439229!G:G&amp;WHSU6439229!F:F=C64)),WHSU6439229!Z:Z)</x:f>
        <x:v>#N/A</x:v>
      </x:c>
      <x:c r="J64" s="582">
        <x:f t="shared" si="0"/>
        <x:v>20.88</x:v>
      </x:c>
    </x:row>
    <x:row r="65" ht="48" customHeight="1">
      <x:c r="A65">
        <x:v>27</x:v>
      </x:c>
      <x:c r="B65" s="577"/>
      <x:c r="C65" s="577" t="e" cm="1">
        <x:f t="array" ref="C65">LOOKUP(1,0/((WHSU6439229!V:V=$J$46)*(WHSU6439229!X:X=$J$42)*(WHSU6439229!A:A=A65)),WHSU6439229!G:G&amp;WHSU6439229!F:F)</x:f>
        <x:v>#N/A</x:v>
      </x:c>
      <x:c r="D65" s="577" t="e" cm="1">
        <x:f t="array" ref="D65">LOOKUP(1,0/((WHSU6439229!D:D=B65)*(WHSU6439229!G:G&amp;WHSU6439229!F:F=C65)),WHSU6439229!L:L)</x:f>
        <x:v>#N/A</x:v>
      </x:c>
      <x:c r="E65" s="578" t="e" cm="1">
        <x:f t="array" ref="E65">LOOKUP(1,0/((WHSU6439229!D:D=B65)*(WHSU6439229!G:G&amp;WHSU6439229!F:F=C65)),WHSU6439229!M:M)</x:f>
        <x:v>#N/A</x:v>
      </x:c>
      <x:c r="F65" s="579" t="e" cm="1">
        <x:f t="array" ref="F65">LOOKUP(1,0/((WHSU6439229!D:D=B65)*(WHSU6439229!G:G&amp;WHSU6439229!F:F=C65)),WHSU6439229!C:C)</x:f>
        <x:v>#N/A</x:v>
      </x:c>
      <x:c r="G65" s="580" t="e" cm="1">
        <x:f t="array" ref="G65">LOOKUP(1,0/((WHSU6439229!D:D=B65)*(WHSU6439229!G:G&amp;WHSU6439229!F:F=C65)),WHSU6439229!K:K)</x:f>
        <x:v>#N/A</x:v>
      </x:c>
      <x:c r="H65" s="580" t="e" cm="1">
        <x:f t="array" ref="H65">LOOKUP(1,0/((WHSU6439229!D:D=B65)*(WHSU6439229!G:G&amp;WHSU6439229!F:F=C65)),WHSU6439229!J:J)</x:f>
        <x:v>#N/A</x:v>
      </x:c>
      <x:c r="I65" s="581" t="e" cm="1">
        <x:f t="array" ref="I65">LOOKUP(1,0/((WHSU6439229!D:D=B65)*(WHSU6439229!G:G&amp;WHSU6439229!F:F=C65)),WHSU6439229!Z:Z)</x:f>
        <x:v>#N/A</x:v>
      </x:c>
      <x:c r="J65" s="582">
        <x:f t="shared" si="0"/>
        <x:v>22.98</x:v>
      </x:c>
    </x:row>
    <x:row r="66" ht="48" customHeight="1">
      <x:c r="A66">
        <x:v>28</x:v>
      </x:c>
      <x:c r="B66" s="577"/>
      <x:c r="C66" s="577" t="e" cm="1">
        <x:f t="array" ref="C66">LOOKUP(1,0/((WHSU6439229!V:V=$J$46)*(WHSU6439229!X:X=$J$42)*(WHSU6439229!A:A=A66)),WHSU6439229!G:G&amp;WHSU6439229!F:F)</x:f>
        <x:v>#N/A</x:v>
      </x:c>
      <x:c r="D66" s="577" t="e" cm="1">
        <x:f t="array" ref="D66">LOOKUP(1,0/((WHSU6439229!D:D=B66)*(WHSU6439229!G:G&amp;WHSU6439229!F:F=C66)),WHSU6439229!L:L)</x:f>
        <x:v>#N/A</x:v>
      </x:c>
      <x:c r="E66" s="578" t="e" cm="1">
        <x:f t="array" ref="E66">LOOKUP(1,0/((WHSU6439229!D:D=B66)*(WHSU6439229!G:G&amp;WHSU6439229!F:F=C66)),WHSU6439229!M:M)</x:f>
        <x:v>#N/A</x:v>
      </x:c>
      <x:c r="F66" s="579" t="e" cm="1">
        <x:f t="array" ref="F66">LOOKUP(1,0/((WHSU6439229!D:D=B66)*(WHSU6439229!G:G&amp;WHSU6439229!F:F=C66)),WHSU6439229!C:C)</x:f>
        <x:v>#N/A</x:v>
      </x:c>
      <x:c r="G66" s="580" t="e" cm="1">
        <x:f t="array" ref="G66">LOOKUP(1,0/((WHSU6439229!D:D=B66)*(WHSU6439229!G:G&amp;WHSU6439229!F:F=C66)),WHSU6439229!K:K)</x:f>
        <x:v>#N/A</x:v>
      </x:c>
      <x:c r="H66" s="580" t="e" cm="1">
        <x:f t="array" ref="H66">LOOKUP(1,0/((WHSU6439229!D:D=B66)*(WHSU6439229!G:G&amp;WHSU6439229!F:F=C66)),WHSU6439229!J:J)</x:f>
        <x:v>#N/A</x:v>
      </x:c>
      <x:c r="I66" s="581" t="e" cm="1">
        <x:f t="array" ref="I66">LOOKUP(1,0/((WHSU6439229!D:D=B66)*(WHSU6439229!G:G&amp;WHSU6439229!F:F=C66)),WHSU6439229!Z:Z)</x:f>
        <x:v>#N/A</x:v>
      </x:c>
      <x:c r="J66" s="582">
        <x:f t="shared" si="0"/>
        <x:v>25.14</x:v>
      </x:c>
    </x:row>
    <x:row r="67" ht="48" customHeight="1">
      <x:c r="A67">
        <x:v>29</x:v>
      </x:c>
      <x:c r="B67" s="577"/>
      <x:c r="C67" s="577" t="e" cm="1">
        <x:f t="array" ref="C67">LOOKUP(1,0/((WHSU6439229!V:V=$J$46)*(WHSU6439229!X:X=$J$42)*(WHSU6439229!A:A=A67)),WHSU6439229!G:G&amp;WHSU6439229!F:F)</x:f>
        <x:v>#N/A</x:v>
      </x:c>
      <x:c r="D67" s="577" t="e" cm="1">
        <x:f t="array" ref="D67">LOOKUP(1,0/((WHSU6439229!D:D=B67)*(WHSU6439229!G:G&amp;WHSU6439229!F:F=C67)),WHSU6439229!L:L)</x:f>
        <x:v>#N/A</x:v>
      </x:c>
      <x:c r="E67" s="578" t="e" cm="1">
        <x:f t="array" ref="E67">LOOKUP(1,0/((WHSU6439229!D:D=B67)*(WHSU6439229!G:G&amp;WHSU6439229!F:F=C67)),WHSU6439229!M:M)</x:f>
        <x:v>#N/A</x:v>
      </x:c>
      <x:c r="F67" s="579" t="e" cm="1">
        <x:f t="array" ref="F67">LOOKUP(1,0/((WHSU6439229!D:D=B67)*(WHSU6439229!G:G&amp;WHSU6439229!F:F=C67)),WHSU6439229!C:C)</x:f>
        <x:v>#N/A</x:v>
      </x:c>
      <x:c r="G67" s="580" t="e" cm="1">
        <x:f t="array" ref="G67">LOOKUP(1,0/((WHSU6439229!D:D=B67)*(WHSU6439229!G:G&amp;WHSU6439229!F:F=C67)),WHSU6439229!K:K)</x:f>
        <x:v>#N/A</x:v>
      </x:c>
      <x:c r="H67" s="580" t="e" cm="1">
        <x:f t="array" ref="H67">LOOKUP(1,0/((WHSU6439229!D:D=B67)*(WHSU6439229!G:G&amp;WHSU6439229!F:F=C67)),WHSU6439229!J:J)</x:f>
        <x:v>#N/A</x:v>
      </x:c>
      <x:c r="I67" s="581" t="e" cm="1">
        <x:f t="array" ref="I67">LOOKUP(1,0/((WHSU6439229!D:D=B67)*(WHSU6439229!G:G&amp;WHSU6439229!F:F=C67)),WHSU6439229!Z:Z)</x:f>
        <x:v>#N/A</x:v>
      </x:c>
      <x:c r="J67" s="582">
        <x:f t="shared" si="0"/>
        <x:v>42.36</x:v>
      </x:c>
    </x:row>
    <x:row r="68" ht="48" customHeight="1">
      <x:c r="A68">
        <x:v>30</x:v>
      </x:c>
      <x:c r="B68" s="577"/>
      <x:c r="C68" s="577" t="e" cm="1">
        <x:f t="array" ref="C68">LOOKUP(1,0/((WHSU6439229!V:V=$J$46)*(WHSU6439229!X:X=$J$42)*(WHSU6439229!A:A=A68)),WHSU6439229!G:G&amp;WHSU6439229!F:F)</x:f>
        <x:v>#N/A</x:v>
      </x:c>
      <x:c r="D68" s="577" t="e" cm="1">
        <x:f t="array" ref="D68">LOOKUP(1,0/((WHSU6439229!D:D=B68)*(WHSU6439229!G:G&amp;WHSU6439229!F:F=C68)),WHSU6439229!L:L)</x:f>
        <x:v>#N/A</x:v>
      </x:c>
      <x:c r="E68" s="578" t="e" cm="1">
        <x:f t="array" ref="E68">LOOKUP(1,0/((WHSU6439229!D:D=B68)*(WHSU6439229!G:G&amp;WHSU6439229!F:F=C68)),WHSU6439229!M:M)</x:f>
        <x:v>#N/A</x:v>
      </x:c>
      <x:c r="F68" s="579" t="e" cm="1">
        <x:f t="array" ref="F68">LOOKUP(1,0/((WHSU6439229!D:D=B68)*(WHSU6439229!G:G&amp;WHSU6439229!F:F=C68)),WHSU6439229!C:C)</x:f>
        <x:v>#N/A</x:v>
      </x:c>
      <x:c r="G68" s="580" t="e" cm="1">
        <x:f t="array" ref="G68">LOOKUP(1,0/((WHSU6439229!D:D=B68)*(WHSU6439229!G:G&amp;WHSU6439229!F:F=C68)),WHSU6439229!K:K)</x:f>
        <x:v>#N/A</x:v>
      </x:c>
      <x:c r="H68" s="580" t="e" cm="1">
        <x:f t="array" ref="H68">LOOKUP(1,0/((WHSU6439229!D:D=B68)*(WHSU6439229!G:G&amp;WHSU6439229!F:F=C68)),WHSU6439229!J:J)</x:f>
        <x:v>#N/A</x:v>
      </x:c>
      <x:c r="I68" s="581" t="e" cm="1">
        <x:f t="array" ref="I68">LOOKUP(1,0/((WHSU6439229!D:D=B68)*(WHSU6439229!G:G&amp;WHSU6439229!F:F=C68)),WHSU6439229!Z:Z)</x:f>
        <x:v>#N/A</x:v>
      </x:c>
      <x:c r="J68" s="582">
        <x:f t="shared" si="0"/>
        <x:v>51.96</x:v>
      </x:c>
    </x:row>
    <x:row r="69" ht="48" customHeight="1">
      <x:c r="A69">
        <x:v>31</x:v>
      </x:c>
      <x:c r="B69" s="577"/>
      <x:c r="C69" s="577" t="e" cm="1">
        <x:f t="array" ref="C69">LOOKUP(1,0/((WHSU6439229!V:V=$J$46)*(WHSU6439229!X:X=$J$42)*(WHSU6439229!A:A=A69)),WHSU6439229!G:G&amp;WHSU6439229!F:F)</x:f>
        <x:v>#N/A</x:v>
      </x:c>
      <x:c r="D69" s="577" t="e" cm="1">
        <x:f t="array" ref="D69">LOOKUP(1,0/((WHSU6439229!D:D=B69)*(WHSU6439229!G:G&amp;WHSU6439229!F:F=C69)),WHSU6439229!L:L)</x:f>
        <x:v>#N/A</x:v>
      </x:c>
      <x:c r="E69" s="578" t="e" cm="1">
        <x:f t="array" ref="E69">LOOKUP(1,0/((WHSU6439229!D:D=B69)*(WHSU6439229!G:G&amp;WHSU6439229!F:F=C69)),WHSU6439229!M:M)</x:f>
        <x:v>#N/A</x:v>
      </x:c>
      <x:c r="F69" s="579" t="e" cm="1">
        <x:f t="array" ref="F69">LOOKUP(1,0/((WHSU6439229!D:D=B69)*(WHSU6439229!G:G&amp;WHSU6439229!F:F=C69)),WHSU6439229!C:C)</x:f>
        <x:v>#N/A</x:v>
      </x:c>
      <x:c r="G69" s="580" t="e" cm="1">
        <x:f t="array" ref="G69">LOOKUP(1,0/((WHSU6439229!D:D=B69)*(WHSU6439229!G:G&amp;WHSU6439229!F:F=C69)),WHSU6439229!K:K)</x:f>
        <x:v>#N/A</x:v>
      </x:c>
      <x:c r="H69" s="580" t="e" cm="1">
        <x:f t="array" ref="H69">LOOKUP(1,0/((WHSU6439229!D:D=B69)*(WHSU6439229!G:G&amp;WHSU6439229!F:F=C69)),WHSU6439229!J:J)</x:f>
        <x:v>#N/A</x:v>
      </x:c>
      <x:c r="I69" s="581" t="e" cm="1">
        <x:f t="array" ref="I69">LOOKUP(1,0/((WHSU6439229!D:D=B69)*(WHSU6439229!G:G&amp;WHSU6439229!F:F=C69)),WHSU6439229!Z:Z)</x:f>
        <x:v>#N/A</x:v>
      </x:c>
      <x:c r="J69" s="582">
        <x:f t="shared" si="0"/>
        <x:v>73.74</x:v>
      </x:c>
    </x:row>
    <x:row r="70" ht="48" customHeight="1">
      <x:c r="A70">
        <x:v>32</x:v>
      </x:c>
      <x:c r="B70" s="577"/>
      <x:c r="C70" s="577" t="e" cm="1">
        <x:f t="array" ref="C70">LOOKUP(1,0/((WHSU6439229!V:V=$J$46)*(WHSU6439229!X:X=$J$42)*(WHSU6439229!A:A=A70)),WHSU6439229!G:G&amp;WHSU6439229!F:F)</x:f>
        <x:v>#N/A</x:v>
      </x:c>
      <x:c r="D70" s="577" t="e" cm="1">
        <x:f t="array" ref="D70">LOOKUP(1,0/((WHSU6439229!D:D=B70)*(WHSU6439229!G:G&amp;WHSU6439229!F:F=C70)),WHSU6439229!L:L)</x:f>
        <x:v>#N/A</x:v>
      </x:c>
      <x:c r="E70" s="578" t="e" cm="1">
        <x:f t="array" ref="E70">LOOKUP(1,0/((WHSU6439229!D:D=B70)*(WHSU6439229!G:G&amp;WHSU6439229!F:F=C70)),WHSU6439229!M:M)</x:f>
        <x:v>#N/A</x:v>
      </x:c>
      <x:c r="F70" s="579" t="e" cm="1">
        <x:f t="array" ref="F70">LOOKUP(1,0/((WHSU6439229!D:D=B70)*(WHSU6439229!G:G&amp;WHSU6439229!F:F=C70)),WHSU6439229!C:C)</x:f>
        <x:v>#N/A</x:v>
      </x:c>
      <x:c r="G70" s="580" t="e" cm="1">
        <x:f t="array" ref="G70">LOOKUP(1,0/((WHSU6439229!D:D=B70)*(WHSU6439229!G:G&amp;WHSU6439229!F:F=C70)),WHSU6439229!K:K)</x:f>
        <x:v>#N/A</x:v>
      </x:c>
      <x:c r="H70" s="580" t="e" cm="1">
        <x:f t="array" ref="H70">LOOKUP(1,0/((WHSU6439229!D:D=B70)*(WHSU6439229!G:G&amp;WHSU6439229!F:F=C70)),WHSU6439229!J:J)</x:f>
        <x:v>#N/A</x:v>
      </x:c>
      <x:c r="I70" s="581" t="e" cm="1">
        <x:f t="array" ref="I70">LOOKUP(1,0/((WHSU6439229!D:D=B70)*(WHSU6439229!G:G&amp;WHSU6439229!F:F=C70)),WHSU6439229!Z:Z)</x:f>
        <x:v>#N/A</x:v>
      </x:c>
      <x:c r="J70" s="582">
        <x:f t="shared" si="0"/>
        <x:v>89.55</x:v>
      </x:c>
    </x:row>
    <x:row r="71" ht="48" customHeight="1">
      <x:c r="A71">
        <x:v>33</x:v>
      </x:c>
      <x:c r="B71" s="577"/>
      <x:c r="C71" s="577" t="e" cm="1">
        <x:f t="array" ref="C71">LOOKUP(1,0/((WHSU6439229!V:V=$J$46)*(WHSU6439229!X:X=$J$42)*(WHSU6439229!A:A=A71)),WHSU6439229!G:G&amp;WHSU6439229!F:F)</x:f>
        <x:v>#N/A</x:v>
      </x:c>
      <x:c r="D71" s="577" t="e" cm="1">
        <x:f t="array" ref="D71">LOOKUP(1,0/((WHSU6439229!D:D=B71)*(WHSU6439229!G:G&amp;WHSU6439229!F:F=C71)),WHSU6439229!L:L)</x:f>
        <x:v>#N/A</x:v>
      </x:c>
      <x:c r="E71" s="578" t="e" cm="1">
        <x:f t="array" ref="E71">LOOKUP(1,0/((WHSU6439229!D:D=B71)*(WHSU6439229!G:G&amp;WHSU6439229!F:F=C71)),WHSU6439229!M:M)</x:f>
        <x:v>#N/A</x:v>
      </x:c>
      <x:c r="F71" s="579" t="e" cm="1">
        <x:f t="array" ref="F71">LOOKUP(1,0/((WHSU6439229!D:D=B71)*(WHSU6439229!G:G&amp;WHSU6439229!F:F=C71)),WHSU6439229!C:C)</x:f>
        <x:v>#N/A</x:v>
      </x:c>
      <x:c r="G71" s="580" t="e" cm="1">
        <x:f t="array" ref="G71">LOOKUP(1,0/((WHSU6439229!D:D=B71)*(WHSU6439229!G:G&amp;WHSU6439229!F:F=C71)),WHSU6439229!K:K)</x:f>
        <x:v>#N/A</x:v>
      </x:c>
      <x:c r="H71" s="580" t="e" cm="1">
        <x:f t="array" ref="H71">LOOKUP(1,0/((WHSU6439229!D:D=B71)*(WHSU6439229!G:G&amp;WHSU6439229!F:F=C71)),WHSU6439229!J:J)</x:f>
        <x:v>#N/A</x:v>
      </x:c>
      <x:c r="I71" s="581" t="e" cm="1">
        <x:f t="array" ref="I71">LOOKUP(1,0/((WHSU6439229!D:D=B71)*(WHSU6439229!G:G&amp;WHSU6439229!F:F=C71)),WHSU6439229!Z:Z)</x:f>
        <x:v>#N/A</x:v>
      </x:c>
      <x:c r="J71" s="582">
        <x:f t="shared" si="0"/>
        <x:v>110.16</x:v>
      </x:c>
    </x:row>
    <x:row r="72" ht="48" customHeight="1">
      <x:c r="B72" s="577"/>
      <x:c r="C72" s="577"/>
      <x:c r="D72" s="577"/>
      <x:c r="E72" s="578"/>
      <x:c r="F72" s="579"/>
      <x:c r="G72" s="580"/>
      <x:c r="H72" s="580"/>
      <x:c r="I72" s="581"/>
      <x:c r="J72" s="582"/>
    </x:row>
    <x:row r="73" ht="25" customHeight="1">
      <x:c r="B73" s="583"/>
      <x:c r="C73" s="584"/>
      <x:c r="D73" s="584"/>
      <x:c r="E73" s="583"/>
      <x:c r="F73" s="583"/>
      <x:c r="G73" s="585" t="s">
        <x:v>167</x:v>
      </x:c>
      <x:c r="H73" s="586"/>
      <x:c r="I73" s="587" t="e">
        <x:f>SUM(J56:J72)</x:f>
        <x:v>#N/A</x:v>
      </x:c>
      <x:c r="J73" s="588"/>
    </x:row>
    <x:row r="74" ht="36" customHeight="1">
      <x:c r="B74" s="589" t="s">
        <x:v>168</x:v>
      </x:c>
      <x:c r="C74" s="590" t="e">
        <x:f>I73</x:f>
        <x:v>#N/A</x:v>
      </x:c>
      <x:c r="D74" s="591"/>
      <x:c r="E74" s="591"/>
      <x:c r="F74" s="592"/>
      <x:c r="G74" s="593"/>
      <x:c r="H74" s="593"/>
      <x:c r="I74" s="593"/>
      <x:c r="J74" s="593"/>
    </x:row>
  </x:sheetData>
  <x:mergeCells>
    <x:mergeCell ref="B1:J1"/>
    <x:mergeCell ref="B4:J4"/>
    <x:mergeCell ref="B5:J5"/>
    <x:mergeCell ref="B6:J6"/>
    <x:mergeCell ref="B7:J7"/>
    <x:mergeCell ref="B8:G8"/>
    <x:mergeCell ref="B9:G9"/>
    <x:mergeCell ref="B10:G10"/>
    <x:mergeCell ref="B13:C13"/>
    <x:mergeCell ref="B18:G18"/>
    <x:mergeCell ref="C21:F21"/>
    <x:mergeCell ref="I21:J21"/>
    <x:mergeCell ref="I23:J23"/>
    <x:mergeCell ref="I30:J30"/>
    <x:mergeCell ref="C31:F31"/>
    <x:mergeCell ref="B33:J33"/>
    <x:mergeCell ref="B36:J36"/>
    <x:mergeCell ref="B37:J37"/>
    <x:mergeCell ref="B38:J38"/>
    <x:mergeCell ref="B39:J39"/>
    <x:mergeCell ref="B40:G40"/>
    <x:mergeCell ref="B41:G41"/>
    <x:mergeCell ref="B42:G42"/>
    <x:mergeCell ref="B45:C45"/>
    <x:mergeCell ref="B50:G50"/>
    <x:mergeCell ref="C53:F53"/>
    <x:mergeCell ref="I53:J53"/>
    <x:mergeCell ref="I55:J55"/>
    <x:mergeCell ref="I73:J73"/>
    <x:mergeCell ref="C74:F74"/>
    <x:mergeCell ref="I14:I15"/>
    <x:mergeCell ref="I46:I47"/>
    <x:mergeCell ref="B2:J3"/>
    <x:mergeCell ref="B11:G12"/>
    <x:mergeCell ref="B14:G15"/>
    <x:mergeCell ref="B34:J35"/>
    <x:mergeCell ref="B43:G44"/>
    <x:mergeCell ref="B46:G47"/>
  </x:mergeCells>
  <x:conditionalFormatting sqref="C16:D16">
    <x:cfRule type="cellIs" dxfId="0" priority="3" stopIfTrue="1" operator="equal">
      <x:formula>0</x:formula>
    </x:cfRule>
  </x:conditionalFormatting>
  <x:conditionalFormatting sqref="C48:D48">
    <x:cfRule type="cellIs" dxfId="0" priority="1" stopIfTrue="1" operator="equal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8.616666793823242" defaultRowHeight="13.5"/>
  <x:cols>
    <x:col min="1" max="1" width="7.916666507720947" customWidth="1"/>
    <x:col min="2" max="2" width="21.241666793823242" customWidth="1"/>
    <x:col min="3" max="3" width="51.13333511352539" customWidth="1"/>
    <x:col min="4" max="4" width="14.833333015441895" customWidth="1"/>
    <x:col min="5" max="5" width="8.908333778381348" customWidth="1"/>
    <x:col min="6" max="6" width="11.108333587646484" customWidth="1"/>
    <x:col min="7" max="7" width="8.891666412353516" customWidth="1"/>
    <x:col min="8" max="8" width="14.383333206176758" customWidth="1"/>
    <x:col min="9" max="10" width="14.216666221618652" customWidth="1"/>
    <x:col min="11" max="11" width="10.149999618530273" style="407" customWidth="1"/>
    <x:col min="12" max="17" width="19" customWidth="1"/>
  </x:cols>
  <x:sheetData>
    <x:row r="1" ht="25.5">
      <x:c r="A1" s="408" t="s">
        <x:v>79</x:v>
      </x:c>
      <x:c r="B1" s="409"/>
      <x:c r="C1" s="409"/>
      <x:c r="D1" s="409"/>
      <x:c r="E1" s="409"/>
      <x:c r="F1" s="409"/>
      <x:c r="G1" s="409"/>
      <x:c r="H1" s="409"/>
      <x:c r="I1" s="409"/>
      <x:c r="J1" s="409"/>
      <x:c r="K1" s="410"/>
    </x:row>
    <x:row r="2">
      <x:c r="A2" s="411" t="s">
        <x:v>196</x:v>
      </x:c>
      <x:c r="B2" s="412"/>
      <x:c r="C2" s="412"/>
      <x:c r="D2" s="412"/>
      <x:c r="E2" s="412"/>
      <x:c r="F2" s="412"/>
      <x:c r="G2" s="412"/>
      <x:c r="H2" s="412"/>
      <x:c r="I2" s="412"/>
      <x:c r="J2" s="412"/>
      <x:c r="K2" s="413"/>
    </x:row>
    <x:row r="3">
      <x:c r="A3" s="411"/>
      <x:c r="B3" s="412"/>
      <x:c r="C3" s="412"/>
      <x:c r="D3" s="412"/>
      <x:c r="E3" s="412"/>
      <x:c r="F3" s="412"/>
      <x:c r="G3" s="412"/>
      <x:c r="H3" s="412"/>
      <x:c r="I3" s="412"/>
      <x:c r="J3" s="412"/>
      <x:c r="K3" s="413"/>
    </x:row>
    <x:row r="4" ht="18">
      <x:c r="A4" s="414"/>
      <x:c r="B4" s="415"/>
      <x:c r="C4" s="415"/>
      <x:c r="D4" s="415"/>
      <x:c r="E4" s="415"/>
      <x:c r="F4" s="415"/>
      <x:c r="G4" s="415"/>
      <x:c r="H4" s="415"/>
      <x:c r="I4" s="415"/>
      <x:c r="J4" s="415"/>
      <x:c r="K4" s="416"/>
    </x:row>
    <x:row r="5" ht="18">
      <x:c r="A5" s="414"/>
      <x:c r="B5" s="415"/>
      <x:c r="C5" s="415"/>
      <x:c r="D5" s="415"/>
      <x:c r="E5" s="415"/>
      <x:c r="F5" s="415"/>
      <x:c r="G5" s="415"/>
      <x:c r="H5" s="415"/>
      <x:c r="I5" s="415"/>
      <x:c r="J5" s="415"/>
      <x:c r="K5" s="416"/>
    </x:row>
    <x:row r="6">
      <x:c r="A6" s="417" t="s">
        <x:v>197</x:v>
      </x:c>
      <x:c r="B6" s="418"/>
      <x:c r="C6" s="418"/>
      <x:c r="D6" s="418"/>
      <x:c r="E6" s="418"/>
      <x:c r="F6" s="418"/>
      <x:c r="G6" s="418"/>
      <x:c r="H6" s="418"/>
      <x:c r="I6" s="418"/>
      <x:c r="J6" s="418"/>
      <x:c r="K6" s="419"/>
    </x:row>
    <x:row r="7" ht="14.25">
      <x:c r="A7" s="417"/>
      <x:c r="B7" s="418"/>
      <x:c r="C7" s="418"/>
      <x:c r="D7" s="418"/>
      <x:c r="E7" s="418"/>
      <x:c r="F7" s="418"/>
      <x:c r="G7" s="418"/>
      <x:c r="H7" s="418"/>
      <x:c r="I7" s="418"/>
      <x:c r="J7" s="418"/>
      <x:c r="K7" s="419"/>
    </x:row>
    <x:row r="8" ht="16.5">
      <x:c r="A8" s="420" t="s">
        <x:v>198</x:v>
      </x:c>
      <x:c r="B8" s="421"/>
      <x:c r="C8" s="421"/>
      <x:c r="D8" s="422" t="s">
        <x:v>199</x:v>
      </x:c>
      <x:c r="E8" s="423"/>
      <x:c r="F8" s="423"/>
      <x:c r="G8" s="423"/>
      <x:c r="H8" s="422" t="s">
        <x:v>200</x:v>
      </x:c>
      <x:c r="I8" s="424"/>
      <x:c r="J8" s="424"/>
      <x:c r="K8" s="425"/>
    </x:row>
    <x:row r="9" ht="16" customHeight="1">
      <x:c r="A9" s="426" t="s">
        <x:v>201</x:v>
      </x:c>
      <x:c r="B9" s="427"/>
      <x:c r="C9" s="427"/>
      <x:c r="D9" s="428" t="e">
        <x:f>全球发票!J9</x:f>
        <x:v>#NAME?</x:v>
      </x:c>
      <x:c r="E9" s="429"/>
      <x:c r="F9" s="429"/>
      <x:c r="G9" s="429"/>
      <x:c r="H9" s="430"/>
      <x:c r="I9" s="431"/>
      <x:c r="J9" s="431"/>
      <x:c r="K9" s="432"/>
    </x:row>
    <x:row r="10" ht="16" customHeight="1">
      <x:c r="A10" s="426"/>
      <x:c r="B10" s="427"/>
      <x:c r="C10" s="427"/>
      <x:c r="D10" s="433" t="s">
        <x:v>202</x:v>
      </x:c>
      <x:c r="E10" s="434"/>
      <x:c r="F10" s="434"/>
      <x:c r="G10" s="435"/>
      <x:c r="H10" s="436"/>
      <x:c r="I10" s="436"/>
      <x:c r="J10" s="436"/>
      <x:c r="K10" s="437"/>
    </x:row>
    <x:row r="11" ht="16" customHeight="1">
      <x:c r="A11" s="426"/>
      <x:c r="B11" s="427"/>
      <x:c r="C11" s="427"/>
      <x:c r="D11" s="438">
        <x:v>46265</x:v>
      </x:c>
      <x:c r="E11" s="439"/>
      <x:c r="F11" s="439"/>
      <x:c r="G11" s="440"/>
      <x:c r="H11" s="441"/>
      <x:c r="I11" s="442"/>
      <x:c r="J11" s="442"/>
      <x:c r="K11" s="443"/>
    </x:row>
    <x:row r="12" ht="16.5">
      <x:c r="A12" s="444" t="s">
        <x:v>203</x:v>
      </x:c>
      <x:c r="B12" s="445"/>
      <x:c r="C12" s="446"/>
      <x:c r="D12" s="447" t="s">
        <x:v>204</x:v>
      </x:c>
      <x:c r="E12" s="448"/>
      <x:c r="F12" s="448"/>
      <x:c r="G12" s="448"/>
      <x:c r="H12" s="449" t="s">
        <x:v>205</x:v>
      </x:c>
      <x:c r="I12" s="436"/>
      <x:c r="J12" s="450"/>
      <x:c r="K12" s="451"/>
    </x:row>
    <x:row r="13" ht="16.5">
      <x:c r="A13" s="444" t="s">
        <x:v>206</x:v>
      </x:c>
      <x:c r="B13" s="445"/>
      <x:c r="C13" s="446"/>
      <x:c r="D13" s="452" t="e">
        <x:f>全球合同!H5</x:f>
        <x:v>#NAME?</x:v>
      </x:c>
      <x:c r="E13" s="452"/>
      <x:c r="F13" s="452"/>
      <x:c r="G13" s="452"/>
      <x:c r="H13" s="453"/>
      <x:c r="I13" s="453"/>
      <x:c r="J13" s="453"/>
      <x:c r="K13" s="454"/>
    </x:row>
    <x:row r="14" ht="16.5">
      <x:c r="A14" s="455" t="s">
        <x:v>207</x:v>
      </x:c>
      <x:c r="B14" s="456"/>
      <x:c r="C14" s="456"/>
      <x:c r="D14" s="457"/>
      <x:c r="E14" s="457"/>
      <x:c r="F14" s="457"/>
      <x:c r="G14" s="457"/>
      <x:c r="H14" s="453"/>
      <x:c r="I14" s="453"/>
      <x:c r="J14" s="453"/>
      <x:c r="K14" s="454"/>
    </x:row>
    <x:row r="15" ht="16.5">
      <x:c r="A15" s="458" t="s">
        <x:v>208</x:v>
      </x:c>
      <x:c r="B15" s="459"/>
      <x:c r="C15" s="460"/>
      <x:c r="D15" s="457"/>
      <x:c r="E15" s="457"/>
      <x:c r="F15" s="457"/>
      <x:c r="G15" s="457"/>
      <x:c r="H15" s="461"/>
      <x:c r="I15" s="461"/>
      <x:c r="J15" s="461"/>
      <x:c r="K15" s="462"/>
    </x:row>
    <x:row r="16" ht="16.5">
      <x:c r="A16" s="463" t="s">
        <x:v>91</x:v>
      </x:c>
      <x:c r="B16" s="464"/>
      <x:c r="C16" s="446"/>
      <x:c r="D16" s="447" t="s">
        <x:v>209</x:v>
      </x:c>
      <x:c r="E16" s="434"/>
      <x:c r="F16" s="434"/>
      <x:c r="G16" s="435"/>
      <x:c r="H16" s="436" t="s">
        <x:v>210</x:v>
      </x:c>
      <x:c r="I16" s="436"/>
      <x:c r="J16" s="450"/>
      <x:c r="K16" s="451"/>
    </x:row>
    <x:row r="17" ht="16.5">
      <x:c r="A17" s="463" t="s">
        <x:v>151</x:v>
      </x:c>
      <x:c r="B17" s="464"/>
      <x:c r="C17" s="465"/>
      <x:c r="D17" s="466" t="s">
        <x:v>211</x:v>
      </x:c>
      <x:c r="E17" s="467"/>
      <x:c r="F17" s="467"/>
      <x:c r="G17" s="468"/>
      <x:c r="H17" s="467" t="s">
        <x:v>212</x:v>
      </x:c>
      <x:c r="I17" s="467"/>
      <x:c r="J17" s="467"/>
      <x:c r="K17" s="469"/>
    </x:row>
    <x:row r="18" ht="16.5">
      <x:c r="A18" s="470" t="s">
        <x:v>213</x:v>
      </x:c>
      <x:c r="B18" s="471"/>
      <x:c r="C18" s="472"/>
      <x:c r="D18" s="466"/>
      <x:c r="E18" s="467"/>
      <x:c r="F18" s="467"/>
      <x:c r="G18" s="468"/>
      <x:c r="H18" s="467"/>
      <x:c r="I18" s="467"/>
      <x:c r="J18" s="467"/>
      <x:c r="K18" s="469"/>
    </x:row>
    <x:row r="19" ht="16.5">
      <x:c r="A19" s="470" t="s">
        <x:v>214</x:v>
      </x:c>
      <x:c r="B19" s="471"/>
      <x:c r="C19" s="472"/>
      <x:c r="D19" s="466"/>
      <x:c r="E19" s="467"/>
      <x:c r="F19" s="467"/>
      <x:c r="G19" s="468"/>
      <x:c r="H19" s="467"/>
      <x:c r="I19" s="467"/>
      <x:c r="J19" s="467"/>
      <x:c r="K19" s="469"/>
    </x:row>
    <x:row r="20" ht="16.5">
      <x:c r="A20" s="473" t="s">
        <x:v>152</x:v>
      </x:c>
      <x:c r="B20" s="471"/>
      <x:c r="C20" s="472"/>
      <x:c r="D20" s="474"/>
      <x:c r="E20" s="475"/>
      <x:c r="F20" s="475"/>
      <x:c r="G20" s="476"/>
      <x:c r="H20" s="475"/>
      <x:c r="I20" s="475"/>
      <x:c r="J20" s="475"/>
      <x:c r="K20" s="477"/>
    </x:row>
    <x:row r="21" ht="18">
      <x:c r="A21" s="478" t="s">
        <x:v>153</x:v>
      </x:c>
      <x:c r="B21" s="471"/>
      <x:c r="C21" s="465"/>
      <x:c r="D21" s="447"/>
      <x:c r="E21" s="434"/>
      <x:c r="F21" s="434"/>
      <x:c r="G21" s="434"/>
      <x:c r="H21" s="479"/>
      <x:c r="I21" s="434"/>
      <x:c r="J21" s="434"/>
      <x:c r="K21" s="480"/>
    </x:row>
    <x:row r="22" ht="18" customHeight="1">
      <x:c r="A22" s="473" t="s">
        <x:v>94</x:v>
      </x:c>
      <x:c r="B22" s="481"/>
      <x:c r="C22" s="465"/>
      <x:c r="D22" s="482"/>
      <x:c r="E22" s="483"/>
      <x:c r="F22" s="483"/>
      <x:c r="G22" s="483"/>
      <x:c r="H22" s="483"/>
      <x:c r="I22" s="483"/>
      <x:c r="J22" s="483"/>
      <x:c r="K22" s="484"/>
    </x:row>
    <x:row r="23" ht="38.25">
      <x:c r="A23" s="485" t="s">
        <x:v>215</x:v>
      </x:c>
      <x:c r="B23" s="486" t="s">
        <x:v>161</x:v>
      </x:c>
      <x:c r="C23" s="487" t="s">
        <x:v>162</x:v>
      </x:c>
      <x:c r="D23" s="488" t="s">
        <x:v>163</x:v>
      </x:c>
      <x:c r="E23" s="488" t="s">
        <x:v>28</x:v>
      </x:c>
      <x:c r="F23" s="488" t="s">
        <x:v>163</x:v>
      </x:c>
      <x:c r="G23" s="486" t="s">
        <x:v>28</x:v>
      </x:c>
      <x:c r="H23" s="489" t="s">
        <x:v>216</x:v>
      </x:c>
      <x:c r="I23" s="490" t="s">
        <x:v>217</x:v>
      </x:c>
      <x:c r="J23" s="490" t="s">
        <x:v>62</x:v>
      </x:c>
      <x:c r="K23" s="491" t="s">
        <x:v>218</x:v>
      </x:c>
    </x:row>
    <x:row r="24" s="407" customFormat="1" ht="52" customHeight="1">
      <x:c r="A24" s="492">
        <x:v>1</x:v>
      </x:c>
      <x:c r="B24" s="493" t="e" cm="1">
        <x:f t="array" ref="B24">LOOKUP(1,0/((WHSU6439229!X:X=$D$9)*(WHSU6439229!A:A=A24)),WHSU6439229!D:D)</x:f>
        <x:v>#N/A</x:v>
      </x:c>
      <x:c r="C24" s="494" t="e" cm="1">
        <x:f t="array" ref="C24">LOOKUP(1,0/((WHSU6439229!X:X=$D$9)*(WHSU6439229!A:A=A24)),WHSU6439229!G:G&amp;WHSU6439229!F:F)</x:f>
        <x:v>#N/A</x:v>
      </x:c>
      <x:c r="D24" s="495" t="e" cm="1">
        <x:f t="array" ref="D24">LOOKUP(1,0/((WHSU6439229!X:X=$D$9)*(WHSU6439229!A:A=A24)),WHSU6439229!K:K)</x:f>
        <x:v>#N/A</x:v>
      </x:c>
      <x:c r="E24" s="495" t="e" cm="1">
        <x:f t="array" ref="E24">LOOKUP(1,0/((WHSU6439229!X:X=$D$9)*(WHSU6439229!A:A=A24)),WHSU6439229!J:J)</x:f>
        <x:v>#N/A</x:v>
      </x:c>
      <x:c r="F24" s="495" t="e" cm="1">
        <x:f t="array" ref="F24">LOOKUP(1,0/((WHSU6439229!X:X=$D$9)*(WHSU6439229!A:A=A24)),WHSU6439229!L:L)</x:f>
        <x:v>#N/A</x:v>
      </x:c>
      <x:c r="G24" s="495" t="e" cm="1">
        <x:f t="array" ref="G24">LOOKUP(1,0/((WHSU6439229!X:X=$D$9)*(WHSU6439229!A:A=A24)),WHSU6439229!M:M)</x:f>
        <x:v>#N/A</x:v>
      </x:c>
      <x:c r="H24" s="496" t="e" cm="1">
        <x:f t="array" ref="H24">LOOKUP(1,0/((WHSU6439229!X:X=$D$9)*(WHSU6439229!A:A=A24)),WHSU6439229!P:P)</x:f>
        <x:v>#N/A</x:v>
      </x:c>
      <x:c r="I24" s="497" t="e" cm="1">
        <x:f t="array" ref="I24">LOOKUP(1,0/((WHSU6439229!X:X=$D$9)*(WHSU6439229!A:A=A24)),WHSU6439229!Q:Q)</x:f>
        <x:v>#N/A</x:v>
      </x:c>
      <x:c r="J24" s="497" t="e" cm="1">
        <x:f t="array" ref="J24">LOOKUP(1,0/((WHSU6439229!X:X=$D$9)*(WHSU6439229!A:A=A24)),WHSU6439229!AT:AT)</x:f>
        <x:v>#N/A</x:v>
      </x:c>
      <x:c r="K24" s="498" t="e" cm="1">
        <x:f t="array" ref="K24">LOOKUP(1,0/((WHSU6439229!X:X=$D$9)*(WHSU6439229!A:A=A24)),WHSU6439229!S:S)</x:f>
        <x:v>#N/A</x:v>
      </x:c>
    </x:row>
    <x:row r="25" ht="52" customHeight="1">
      <x:c r="A25" s="492">
        <x:v>2</x:v>
      </x:c>
      <x:c r="B25" s="493" t="e" cm="1">
        <x:f t="array" ref="B25">LOOKUP(1,0/((WHSU6439229!X:X=$D$9)*(WHSU6439229!A:A=A25)),WHSU6439229!D:D)</x:f>
        <x:v>#N/A</x:v>
      </x:c>
      <x:c r="C25" s="494" t="e" cm="1">
        <x:f t="array" ref="C25">LOOKUP(1,0/((WHSU6439229!X:X=$D$9)*(WHSU6439229!A:A=A25)),WHSU6439229!G:G&amp;WHSU6439229!F:F)</x:f>
        <x:v>#N/A</x:v>
      </x:c>
      <x:c r="D25" s="495" t="e" cm="1">
        <x:f t="array" ref="D25">LOOKUP(1,0/((WHSU6439229!X:X=$D$9)*(WHSU6439229!A:A=A25)),WHSU6439229!K:K)</x:f>
        <x:v>#N/A</x:v>
      </x:c>
      <x:c r="E25" s="495" t="e" cm="1">
        <x:f t="array" ref="E25">LOOKUP(1,0/((WHSU6439229!X:X=$D$9)*(WHSU6439229!A:A=A25)),WHSU6439229!J:J)</x:f>
        <x:v>#N/A</x:v>
      </x:c>
      <x:c r="F25" s="495" t="e" cm="1">
        <x:f t="array" ref="F25">LOOKUP(1,0/((WHSU6439229!X:X=$D$9)*(WHSU6439229!A:A=A25)),WHSU6439229!L:L)</x:f>
        <x:v>#N/A</x:v>
      </x:c>
      <x:c r="G25" s="495" t="e" cm="1">
        <x:f t="array" ref="G25">LOOKUP(1,0/((WHSU6439229!X:X=$D$9)*(WHSU6439229!A:A=A25)),WHSU6439229!M:M)</x:f>
        <x:v>#N/A</x:v>
      </x:c>
      <x:c r="H25" s="496" t="e" cm="1">
        <x:f t="array" ref="H25">LOOKUP(1,0/((WHSU6439229!X:X=$D$9)*(WHSU6439229!A:A=A25)),WHSU6439229!P:P)</x:f>
        <x:v>#N/A</x:v>
      </x:c>
      <x:c r="I25" s="497" t="e" cm="1">
        <x:f t="array" ref="I25">LOOKUP(1,0/((WHSU6439229!X:X=$D$9)*(WHSU6439229!A:A=A25)),WHSU6439229!Q:Q)</x:f>
        <x:v>#N/A</x:v>
      </x:c>
      <x:c r="J25" s="497" t="e" cm="1">
        <x:f t="array" ref="J25">LOOKUP(1,0/((WHSU6439229!X:X=$D$9)*(WHSU6439229!A:A=A25)),WHSU6439229!AT:AT)</x:f>
        <x:v>#N/A</x:v>
      </x:c>
      <x:c r="K25" s="498" t="e" cm="1">
        <x:f t="array" ref="K25">LOOKUP(1,0/((WHSU6439229!X:X=$D$9)*(WHSU6439229!A:A=A25)),WHSU6439229!S:S)</x:f>
        <x:v>#N/A</x:v>
      </x:c>
    </x:row>
    <x:row r="26" ht="52" customHeight="1">
      <x:c r="A26" s="492">
        <x:v>3</x:v>
      </x:c>
      <x:c r="B26" s="493" t="e" cm="1">
        <x:f t="array" ref="B26">LOOKUP(1,0/((WHSU6439229!X:X=$D$9)*(WHSU6439229!A:A=A26)),WHSU6439229!D:D)</x:f>
        <x:v>#N/A</x:v>
      </x:c>
      <x:c r="C26" s="494" t="e" cm="1">
        <x:f t="array" ref="C26">LOOKUP(1,0/((WHSU6439229!X:X=$D$9)*(WHSU6439229!A:A=A26)),WHSU6439229!G:G&amp;WHSU6439229!F:F)</x:f>
        <x:v>#N/A</x:v>
      </x:c>
      <x:c r="D26" s="495" t="e" cm="1">
        <x:f t="array" ref="D26">LOOKUP(1,0/((WHSU6439229!X:X=$D$9)*(WHSU6439229!A:A=A26)),WHSU6439229!K:K)</x:f>
        <x:v>#N/A</x:v>
      </x:c>
      <x:c r="E26" s="495" t="e" cm="1">
        <x:f t="array" ref="E26">LOOKUP(1,0/((WHSU6439229!X:X=$D$9)*(WHSU6439229!A:A=A26)),WHSU6439229!J:J)</x:f>
        <x:v>#N/A</x:v>
      </x:c>
      <x:c r="F26" s="495" t="e" cm="1">
        <x:f t="array" ref="F26">LOOKUP(1,0/((WHSU6439229!X:X=$D$9)*(WHSU6439229!A:A=A26)),WHSU6439229!L:L)</x:f>
        <x:v>#N/A</x:v>
      </x:c>
      <x:c r="G26" s="495" t="e" cm="1">
        <x:f t="array" ref="G26">LOOKUP(1,0/((WHSU6439229!X:X=$D$9)*(WHSU6439229!A:A=A26)),WHSU6439229!M:M)</x:f>
        <x:v>#N/A</x:v>
      </x:c>
      <x:c r="H26" s="496" t="e" cm="1">
        <x:f t="array" ref="H26">LOOKUP(1,0/((WHSU6439229!X:X=$D$9)*(WHSU6439229!A:A=A26)),WHSU6439229!P:P)</x:f>
        <x:v>#N/A</x:v>
      </x:c>
      <x:c r="I26" s="497" t="e" cm="1">
        <x:f t="array" ref="I26">LOOKUP(1,0/((WHSU6439229!X:X=$D$9)*(WHSU6439229!A:A=A26)),WHSU6439229!Q:Q)</x:f>
        <x:v>#N/A</x:v>
      </x:c>
      <x:c r="J26" s="497" t="e" cm="1">
        <x:f t="array" ref="J26">LOOKUP(1,0/((WHSU6439229!X:X=$D$9)*(WHSU6439229!A:A=A26)),WHSU6439229!AT:AT)</x:f>
        <x:v>#N/A</x:v>
      </x:c>
      <x:c r="K26" s="498" t="e" cm="1">
        <x:f t="array" ref="K26">LOOKUP(1,0/((WHSU6439229!X:X=$D$9)*(WHSU6439229!A:A=A26)),WHSU6439229!S:S)</x:f>
        <x:v>#N/A</x:v>
      </x:c>
    </x:row>
    <x:row r="27" ht="52" customHeight="1">
      <x:c r="A27" s="492">
        <x:v>4</x:v>
      </x:c>
      <x:c r="B27" s="493" t="e" cm="1">
        <x:f t="array" ref="B27">LOOKUP(1,0/((WHSU6439229!X:X=$D$9)*(WHSU6439229!A:A=A27)),WHSU6439229!D:D)</x:f>
        <x:v>#N/A</x:v>
      </x:c>
      <x:c r="C27" s="494" t="e" cm="1">
        <x:f t="array" ref="C27">LOOKUP(1,0/((WHSU6439229!X:X=$D$9)*(WHSU6439229!A:A=A27)),WHSU6439229!G:G&amp;WHSU6439229!F:F)</x:f>
        <x:v>#N/A</x:v>
      </x:c>
      <x:c r="D27" s="495" t="e" cm="1">
        <x:f t="array" ref="D27">LOOKUP(1,0/((WHSU6439229!X:X=$D$9)*(WHSU6439229!A:A=A27)),WHSU6439229!K:K)</x:f>
        <x:v>#N/A</x:v>
      </x:c>
      <x:c r="E27" s="495" t="e" cm="1">
        <x:f t="array" ref="E27">LOOKUP(1,0/((WHSU6439229!X:X=$D$9)*(WHSU6439229!A:A=A27)),WHSU6439229!J:J)</x:f>
        <x:v>#N/A</x:v>
      </x:c>
      <x:c r="F27" s="495" t="e" cm="1">
        <x:f t="array" ref="F27">LOOKUP(1,0/((WHSU6439229!X:X=$D$9)*(WHSU6439229!A:A=A27)),WHSU6439229!L:L)</x:f>
        <x:v>#N/A</x:v>
      </x:c>
      <x:c r="G27" s="495" t="e" cm="1">
        <x:f t="array" ref="G27">LOOKUP(1,0/((WHSU6439229!X:X=$D$9)*(WHSU6439229!A:A=A27)),WHSU6439229!M:M)</x:f>
        <x:v>#N/A</x:v>
      </x:c>
      <x:c r="H27" s="496" t="e" cm="1">
        <x:f t="array" ref="H27">LOOKUP(1,0/((WHSU6439229!X:X=$D$9)*(WHSU6439229!A:A=A27)),WHSU6439229!P:P)</x:f>
        <x:v>#N/A</x:v>
      </x:c>
      <x:c r="I27" s="497" t="e" cm="1">
        <x:f t="array" ref="I27">LOOKUP(1,0/((WHSU6439229!X:X=$D$9)*(WHSU6439229!A:A=A27)),WHSU6439229!Q:Q)</x:f>
        <x:v>#N/A</x:v>
      </x:c>
      <x:c r="J27" s="497" t="e" cm="1">
        <x:f t="array" ref="J27">LOOKUP(1,0/((WHSU6439229!X:X=$D$9)*(WHSU6439229!A:A=A27)),WHSU6439229!AT:AT)</x:f>
        <x:v>#N/A</x:v>
      </x:c>
      <x:c r="K27" s="498" t="e" cm="1">
        <x:f t="array" ref="K27">LOOKUP(1,0/((WHSU6439229!X:X=$D$9)*(WHSU6439229!A:A=A27)),WHSU6439229!S:S)</x:f>
        <x:v>#N/A</x:v>
      </x:c>
    </x:row>
    <x:row r="28" ht="52" customHeight="1">
      <x:c r="A28" s="492">
        <x:v>5</x:v>
      </x:c>
      <x:c r="B28" s="493" t="e" cm="1">
        <x:f t="array" ref="B28">LOOKUP(1,0/((WHSU6439229!X:X=$D$9)*(WHSU6439229!A:A=A28)),WHSU6439229!D:D)</x:f>
        <x:v>#N/A</x:v>
      </x:c>
      <x:c r="C28" s="494" t="e" cm="1">
        <x:f t="array" ref="C28">LOOKUP(1,0/((WHSU6439229!X:X=$D$9)*(WHSU6439229!A:A=A28)),WHSU6439229!G:G&amp;WHSU6439229!F:F)</x:f>
        <x:v>#N/A</x:v>
      </x:c>
      <x:c r="D28" s="495" t="e" cm="1">
        <x:f t="array" ref="D28">LOOKUP(1,0/((WHSU6439229!X:X=$D$9)*(WHSU6439229!A:A=A28)),WHSU6439229!K:K)</x:f>
        <x:v>#N/A</x:v>
      </x:c>
      <x:c r="E28" s="495" t="e" cm="1">
        <x:f t="array" ref="E28">LOOKUP(1,0/((WHSU6439229!X:X=$D$9)*(WHSU6439229!A:A=A28)),WHSU6439229!J:J)</x:f>
        <x:v>#N/A</x:v>
      </x:c>
      <x:c r="F28" s="495" t="e" cm="1">
        <x:f t="array" ref="F28">LOOKUP(1,0/((WHSU6439229!X:X=$D$9)*(WHSU6439229!A:A=A28)),WHSU6439229!L:L)</x:f>
        <x:v>#N/A</x:v>
      </x:c>
      <x:c r="G28" s="495" t="e" cm="1">
        <x:f t="array" ref="G28">LOOKUP(1,0/((WHSU6439229!X:X=$D$9)*(WHSU6439229!A:A=A28)),WHSU6439229!M:M)</x:f>
        <x:v>#N/A</x:v>
      </x:c>
      <x:c r="H28" s="496" t="e" cm="1">
        <x:f t="array" ref="H28">LOOKUP(1,0/((WHSU6439229!X:X=$D$9)*(WHSU6439229!A:A=A28)),WHSU6439229!P:P)</x:f>
        <x:v>#N/A</x:v>
      </x:c>
      <x:c r="I28" s="497" t="e" cm="1">
        <x:f t="array" ref="I28">LOOKUP(1,0/((WHSU6439229!X:X=$D$9)*(WHSU6439229!A:A=A28)),WHSU6439229!Q:Q)</x:f>
        <x:v>#N/A</x:v>
      </x:c>
      <x:c r="J28" s="497" t="e" cm="1">
        <x:f t="array" ref="J28">LOOKUP(1,0/((WHSU6439229!X:X=$D$9)*(WHSU6439229!A:A=A28)),WHSU6439229!AT:AT)</x:f>
        <x:v>#N/A</x:v>
      </x:c>
      <x:c r="K28" s="498" t="e" cm="1">
        <x:f t="array" ref="K28">LOOKUP(1,0/((WHSU6439229!X:X=$D$9)*(WHSU6439229!A:A=A28)),WHSU6439229!S:S)</x:f>
        <x:v>#N/A</x:v>
      </x:c>
    </x:row>
    <x:row r="29" ht="52" customHeight="1">
      <x:c r="A29" s="492">
        <x:v>6</x:v>
      </x:c>
      <x:c r="B29" s="493" t="e" cm="1">
        <x:f t="array" ref="B29">LOOKUP(1,0/((WHSU6439229!X:X=$D$9)*(WHSU6439229!A:A=A29)),WHSU6439229!D:D)</x:f>
        <x:v>#N/A</x:v>
      </x:c>
      <x:c r="C29" s="494" t="e" cm="1">
        <x:f t="array" ref="C29">LOOKUP(1,0/((WHSU6439229!X:X=$D$9)*(WHSU6439229!A:A=A29)),WHSU6439229!G:G&amp;WHSU6439229!F:F)</x:f>
        <x:v>#N/A</x:v>
      </x:c>
      <x:c r="D29" s="495" t="e" cm="1">
        <x:f t="array" ref="D29">LOOKUP(1,0/((WHSU6439229!X:X=$D$9)*(WHSU6439229!A:A=A29)),WHSU6439229!K:K)</x:f>
        <x:v>#N/A</x:v>
      </x:c>
      <x:c r="E29" s="495" t="e" cm="1">
        <x:f t="array" ref="E29">LOOKUP(1,0/((WHSU6439229!X:X=$D$9)*(WHSU6439229!A:A=A29)),WHSU6439229!J:J)</x:f>
        <x:v>#N/A</x:v>
      </x:c>
      <x:c r="F29" s="495" t="e" cm="1">
        <x:f t="array" ref="F29">LOOKUP(1,0/((WHSU6439229!X:X=$D$9)*(WHSU6439229!A:A=A29)),WHSU6439229!L:L)</x:f>
        <x:v>#N/A</x:v>
      </x:c>
      <x:c r="G29" s="495" t="e" cm="1">
        <x:f t="array" ref="G29">LOOKUP(1,0/((WHSU6439229!X:X=$D$9)*(WHSU6439229!A:A=A29)),WHSU6439229!M:M)</x:f>
        <x:v>#N/A</x:v>
      </x:c>
      <x:c r="H29" s="496" t="e" cm="1">
        <x:f t="array" ref="H29">LOOKUP(1,0/((WHSU6439229!X:X=$D$9)*(WHSU6439229!A:A=A29)),WHSU6439229!P:P)</x:f>
        <x:v>#N/A</x:v>
      </x:c>
      <x:c r="I29" s="497" t="e" cm="1">
        <x:f t="array" ref="I29">LOOKUP(1,0/((WHSU6439229!X:X=$D$9)*(WHSU6439229!A:A=A29)),WHSU6439229!Q:Q)</x:f>
        <x:v>#N/A</x:v>
      </x:c>
      <x:c r="J29" s="497" t="e" cm="1">
        <x:f t="array" ref="J29">LOOKUP(1,0/((WHSU6439229!X:X=$D$9)*(WHSU6439229!A:A=A29)),WHSU6439229!AT:AT)</x:f>
        <x:v>#N/A</x:v>
      </x:c>
      <x:c r="K29" s="498" t="e" cm="1">
        <x:f t="array" ref="K29">LOOKUP(1,0/((WHSU6439229!X:X=$D$9)*(WHSU6439229!A:A=A29)),WHSU6439229!S:S)</x:f>
        <x:v>#N/A</x:v>
      </x:c>
    </x:row>
    <x:row r="30" ht="52" customHeight="1">
      <x:c r="A30" s="492">
        <x:v>7</x:v>
      </x:c>
      <x:c r="B30" s="493" t="e" cm="1">
        <x:f t="array" ref="B30">LOOKUP(1,0/((WHSU6439229!X:X=$D$9)*(WHSU6439229!A:A=A30)),WHSU6439229!D:D)</x:f>
        <x:v>#N/A</x:v>
      </x:c>
      <x:c r="C30" s="494" t="e" cm="1">
        <x:f t="array" ref="C30">LOOKUP(1,0/((WHSU6439229!X:X=$D$9)*(WHSU6439229!A:A=A30)),WHSU6439229!G:G&amp;WHSU6439229!F:F)</x:f>
        <x:v>#N/A</x:v>
      </x:c>
      <x:c r="D30" s="495" t="e" cm="1">
        <x:f t="array" ref="D30">LOOKUP(1,0/((WHSU6439229!X:X=$D$9)*(WHSU6439229!A:A=A30)),WHSU6439229!K:K)</x:f>
        <x:v>#N/A</x:v>
      </x:c>
      <x:c r="E30" s="495" t="e" cm="1">
        <x:f t="array" ref="E30">LOOKUP(1,0/((WHSU6439229!X:X=$D$9)*(WHSU6439229!A:A=A30)),WHSU6439229!J:J)</x:f>
        <x:v>#N/A</x:v>
      </x:c>
      <x:c r="F30" s="495" t="e" cm="1">
        <x:f t="array" ref="F30">LOOKUP(1,0/((WHSU6439229!X:X=$D$9)*(WHSU6439229!A:A=A30)),WHSU6439229!L:L)</x:f>
        <x:v>#N/A</x:v>
      </x:c>
      <x:c r="G30" s="495" t="e" cm="1">
        <x:f t="array" ref="G30">LOOKUP(1,0/((WHSU6439229!X:X=$D$9)*(WHSU6439229!A:A=A30)),WHSU6439229!M:M)</x:f>
        <x:v>#N/A</x:v>
      </x:c>
      <x:c r="H30" s="496" t="e" cm="1">
        <x:f t="array" ref="H30">LOOKUP(1,0/((WHSU6439229!X:X=$D$9)*(WHSU6439229!A:A=A30)),WHSU6439229!P:P)</x:f>
        <x:v>#N/A</x:v>
      </x:c>
      <x:c r="I30" s="497" t="e" cm="1">
        <x:f t="array" ref="I30">LOOKUP(1,0/((WHSU6439229!X:X=$D$9)*(WHSU6439229!A:A=A30)),WHSU6439229!Q:Q)</x:f>
        <x:v>#N/A</x:v>
      </x:c>
      <x:c r="J30" s="497" t="e" cm="1">
        <x:f t="array" ref="J30">LOOKUP(1,0/((WHSU6439229!X:X=$D$9)*(WHSU6439229!A:A=A30)),WHSU6439229!AT:AT)</x:f>
        <x:v>#N/A</x:v>
      </x:c>
      <x:c r="K30" s="498" t="e" cm="1">
        <x:f t="array" ref="K30">LOOKUP(1,0/((WHSU6439229!X:X=$D$9)*(WHSU6439229!A:A=A30)),WHSU6439229!S:S)</x:f>
        <x:v>#N/A</x:v>
      </x:c>
    </x:row>
    <x:row r="31" ht="52" customHeight="1">
      <x:c r="A31" s="492">
        <x:v>8</x:v>
      </x:c>
      <x:c r="B31" s="493" t="e" cm="1">
        <x:f t="array" ref="B31">LOOKUP(1,0/((WHSU6439229!X:X=$D$9)*(WHSU6439229!A:A=A31)),WHSU6439229!D:D)</x:f>
        <x:v>#N/A</x:v>
      </x:c>
      <x:c r="C31" s="494" t="e" cm="1">
        <x:f t="array" ref="C31">LOOKUP(1,0/((WHSU6439229!X:X=$D$9)*(WHSU6439229!A:A=A31)),WHSU6439229!G:G&amp;WHSU6439229!F:F)</x:f>
        <x:v>#N/A</x:v>
      </x:c>
      <x:c r="D31" s="495" t="e" cm="1">
        <x:f t="array" ref="D31">LOOKUP(1,0/((WHSU6439229!X:X=$D$9)*(WHSU6439229!A:A=A31)),WHSU6439229!K:K)</x:f>
        <x:v>#N/A</x:v>
      </x:c>
      <x:c r="E31" s="495" t="e" cm="1">
        <x:f t="array" ref="E31">LOOKUP(1,0/((WHSU6439229!X:X=$D$9)*(WHSU6439229!A:A=A31)),WHSU6439229!J:J)</x:f>
        <x:v>#N/A</x:v>
      </x:c>
      <x:c r="F31" s="495" t="e" cm="1">
        <x:f t="array" ref="F31">LOOKUP(1,0/((WHSU6439229!X:X=$D$9)*(WHSU6439229!A:A=A31)),WHSU6439229!L:L)</x:f>
        <x:v>#N/A</x:v>
      </x:c>
      <x:c r="G31" s="495" t="e" cm="1">
        <x:f t="array" ref="G31">LOOKUP(1,0/((WHSU6439229!X:X=$D$9)*(WHSU6439229!A:A=A31)),WHSU6439229!M:M)</x:f>
        <x:v>#N/A</x:v>
      </x:c>
      <x:c r="H31" s="496" t="e" cm="1">
        <x:f t="array" ref="H31">LOOKUP(1,0/((WHSU6439229!X:X=$D$9)*(WHSU6439229!A:A=A31)),WHSU6439229!P:P)</x:f>
        <x:v>#N/A</x:v>
      </x:c>
      <x:c r="I31" s="497" t="e" cm="1">
        <x:f t="array" ref="I31">LOOKUP(1,0/((WHSU6439229!X:X=$D$9)*(WHSU6439229!A:A=A31)),WHSU6439229!Q:Q)</x:f>
        <x:v>#N/A</x:v>
      </x:c>
      <x:c r="J31" s="497" t="e" cm="1">
        <x:f t="array" ref="J31">LOOKUP(1,0/((WHSU6439229!X:X=$D$9)*(WHSU6439229!A:A=A31)),WHSU6439229!AT:AT)</x:f>
        <x:v>#N/A</x:v>
      </x:c>
      <x:c r="K31" s="498" t="e" cm="1">
        <x:f t="array" ref="K31">LOOKUP(1,0/((WHSU6439229!X:X=$D$9)*(WHSU6439229!A:A=A31)),WHSU6439229!S:S)</x:f>
        <x:v>#N/A</x:v>
      </x:c>
    </x:row>
    <x:row r="32" ht="52" customHeight="1">
      <x:c r="A32" s="492">
        <x:v>9</x:v>
      </x:c>
      <x:c r="B32" s="493" t="e" cm="1">
        <x:f t="array" ref="B32">LOOKUP(1,0/((WHSU6439229!X:X=$D$9)*(WHSU6439229!A:A=A32)),WHSU6439229!D:D)</x:f>
        <x:v>#N/A</x:v>
      </x:c>
      <x:c r="C32" s="494" t="e" cm="1">
        <x:f t="array" ref="C32">LOOKUP(1,0/((WHSU6439229!X:X=$D$9)*(WHSU6439229!A:A=A32)),WHSU6439229!G:G&amp;WHSU6439229!F:F)</x:f>
        <x:v>#N/A</x:v>
      </x:c>
      <x:c r="D32" s="495" t="e" cm="1">
        <x:f t="array" ref="D32">LOOKUP(1,0/((WHSU6439229!X:X=$D$9)*(WHSU6439229!A:A=A32)),WHSU6439229!K:K)</x:f>
        <x:v>#N/A</x:v>
      </x:c>
      <x:c r="E32" s="495" t="e" cm="1">
        <x:f t="array" ref="E32">LOOKUP(1,0/((WHSU6439229!X:X=$D$9)*(WHSU6439229!A:A=A32)),WHSU6439229!J:J)</x:f>
        <x:v>#N/A</x:v>
      </x:c>
      <x:c r="F32" s="495" t="e" cm="1">
        <x:f t="array" ref="F32">LOOKUP(1,0/((WHSU6439229!X:X=$D$9)*(WHSU6439229!A:A=A32)),WHSU6439229!L:L)</x:f>
        <x:v>#N/A</x:v>
      </x:c>
      <x:c r="G32" s="495" t="e" cm="1">
        <x:f t="array" ref="G32">LOOKUP(1,0/((WHSU6439229!X:X=$D$9)*(WHSU6439229!A:A=A32)),WHSU6439229!M:M)</x:f>
        <x:v>#N/A</x:v>
      </x:c>
      <x:c r="H32" s="496" t="e" cm="1">
        <x:f t="array" ref="H32">LOOKUP(1,0/((WHSU6439229!X:X=$D$9)*(WHSU6439229!A:A=A32)),WHSU6439229!P:P)</x:f>
        <x:v>#N/A</x:v>
      </x:c>
      <x:c r="I32" s="497" t="e" cm="1">
        <x:f t="array" ref="I32">LOOKUP(1,0/((WHSU6439229!X:X=$D$9)*(WHSU6439229!A:A=A32)),WHSU6439229!Q:Q)</x:f>
        <x:v>#N/A</x:v>
      </x:c>
      <x:c r="J32" s="497" t="e" cm="1">
        <x:f t="array" ref="J32">LOOKUP(1,0/((WHSU6439229!X:X=$D$9)*(WHSU6439229!A:A=A32)),WHSU6439229!AT:AT)</x:f>
        <x:v>#N/A</x:v>
      </x:c>
      <x:c r="K32" s="498" t="e" cm="1">
        <x:f t="array" ref="K32">LOOKUP(1,0/((WHSU6439229!X:X=$D$9)*(WHSU6439229!A:A=A32)),WHSU6439229!S:S)</x:f>
        <x:v>#N/A</x:v>
      </x:c>
    </x:row>
    <x:row r="33" ht="52" customHeight="1">
      <x:c r="A33" s="492">
        <x:v>10</x:v>
      </x:c>
      <x:c r="B33" s="493" t="e" cm="1">
        <x:f t="array" ref="B33">LOOKUP(1,0/((WHSU6439229!X:X=$D$9)*(WHSU6439229!A:A=A33)),WHSU6439229!D:D)</x:f>
        <x:v>#N/A</x:v>
      </x:c>
      <x:c r="C33" s="494" t="e" cm="1">
        <x:f t="array" ref="C33">LOOKUP(1,0/((WHSU6439229!X:X=$D$9)*(WHSU6439229!A:A=A33)),WHSU6439229!G:G&amp;WHSU6439229!F:F)</x:f>
        <x:v>#N/A</x:v>
      </x:c>
      <x:c r="D33" s="495" t="e" cm="1">
        <x:f t="array" ref="D33">LOOKUP(1,0/((WHSU6439229!X:X=$D$9)*(WHSU6439229!A:A=A33)),WHSU6439229!K:K)</x:f>
        <x:v>#N/A</x:v>
      </x:c>
      <x:c r="E33" s="495" t="e" cm="1">
        <x:f t="array" ref="E33">LOOKUP(1,0/((WHSU6439229!X:X=$D$9)*(WHSU6439229!A:A=A33)),WHSU6439229!J:J)</x:f>
        <x:v>#N/A</x:v>
      </x:c>
      <x:c r="F33" s="495" t="e" cm="1">
        <x:f t="array" ref="F33">LOOKUP(1,0/((WHSU6439229!X:X=$D$9)*(WHSU6439229!A:A=A33)),WHSU6439229!L:L)</x:f>
        <x:v>#N/A</x:v>
      </x:c>
      <x:c r="G33" s="495" t="e" cm="1">
        <x:f t="array" ref="G33">LOOKUP(1,0/((WHSU6439229!X:X=$D$9)*(WHSU6439229!A:A=A33)),WHSU6439229!M:M)</x:f>
        <x:v>#N/A</x:v>
      </x:c>
      <x:c r="H33" s="496" t="e" cm="1">
        <x:f t="array" ref="H33">LOOKUP(1,0/((WHSU6439229!X:X=$D$9)*(WHSU6439229!A:A=A33)),WHSU6439229!P:P)</x:f>
        <x:v>#N/A</x:v>
      </x:c>
      <x:c r="I33" s="497" t="e" cm="1">
        <x:f t="array" ref="I33">LOOKUP(1,0/((WHSU6439229!X:X=$D$9)*(WHSU6439229!A:A=A33)),WHSU6439229!Q:Q)</x:f>
        <x:v>#N/A</x:v>
      </x:c>
      <x:c r="J33" s="497" t="e" cm="1">
        <x:f t="array" ref="J33">LOOKUP(1,0/((WHSU6439229!X:X=$D$9)*(WHSU6439229!A:A=A33)),WHSU6439229!AT:AT)</x:f>
        <x:v>#N/A</x:v>
      </x:c>
      <x:c r="K33" s="498" t="e" cm="1">
        <x:f t="array" ref="K33">LOOKUP(1,0/((WHSU6439229!X:X=$D$9)*(WHSU6439229!A:A=A33)),WHSU6439229!S:S)</x:f>
        <x:v>#N/A</x:v>
      </x:c>
    </x:row>
    <x:row r="34" ht="52" customHeight="1">
      <x:c r="A34" s="492">
        <x:v>11</x:v>
      </x:c>
      <x:c r="B34" s="493" t="e" cm="1">
        <x:f t="array" ref="B34">LOOKUP(1,0/((WHSU6439229!X:X=$D$9)*(WHSU6439229!A:A=A34)),WHSU6439229!D:D)</x:f>
        <x:v>#N/A</x:v>
      </x:c>
      <x:c r="C34" s="494" t="e" cm="1">
        <x:f t="array" ref="C34">LOOKUP(1,0/((WHSU6439229!X:X=$D$9)*(WHSU6439229!A:A=A34)),WHSU6439229!G:G&amp;WHSU6439229!F:F)</x:f>
        <x:v>#N/A</x:v>
      </x:c>
      <x:c r="D34" s="495" t="e" cm="1">
        <x:f t="array" ref="D34">LOOKUP(1,0/((WHSU6439229!X:X=$D$9)*(WHSU6439229!A:A=A34)),WHSU6439229!K:K)</x:f>
        <x:v>#N/A</x:v>
      </x:c>
      <x:c r="E34" s="495" t="e" cm="1">
        <x:f t="array" ref="E34">LOOKUP(1,0/((WHSU6439229!X:X=$D$9)*(WHSU6439229!A:A=A34)),WHSU6439229!J:J)</x:f>
        <x:v>#N/A</x:v>
      </x:c>
      <x:c r="F34" s="495" t="e" cm="1">
        <x:f t="array" ref="F34">LOOKUP(1,0/((WHSU6439229!X:X=$D$9)*(WHSU6439229!A:A=A34)),WHSU6439229!L:L)</x:f>
        <x:v>#N/A</x:v>
      </x:c>
      <x:c r="G34" s="495" t="e" cm="1">
        <x:f t="array" ref="G34">LOOKUP(1,0/((WHSU6439229!X:X=$D$9)*(WHSU6439229!A:A=A34)),WHSU6439229!M:M)</x:f>
        <x:v>#N/A</x:v>
      </x:c>
      <x:c r="H34" s="496" t="e" cm="1">
        <x:f t="array" ref="H34">LOOKUP(1,0/((WHSU6439229!X:X=$D$9)*(WHSU6439229!A:A=A34)),WHSU6439229!P:P)</x:f>
        <x:v>#N/A</x:v>
      </x:c>
      <x:c r="I34" s="497" t="e" cm="1">
        <x:f t="array" ref="I34">LOOKUP(1,0/((WHSU6439229!X:X=$D$9)*(WHSU6439229!A:A=A34)),WHSU6439229!Q:Q)</x:f>
        <x:v>#N/A</x:v>
      </x:c>
      <x:c r="J34" s="497" t="e" cm="1">
        <x:f t="array" ref="J34">LOOKUP(1,0/((WHSU6439229!X:X=$D$9)*(WHSU6439229!A:A=A34)),WHSU6439229!AT:AT)</x:f>
        <x:v>#N/A</x:v>
      </x:c>
      <x:c r="K34" s="498" t="e" cm="1">
        <x:f t="array" ref="K34">LOOKUP(1,0/((WHSU6439229!X:X=$D$9)*(WHSU6439229!A:A=A34)),WHSU6439229!S:S)</x:f>
        <x:v>#N/A</x:v>
      </x:c>
    </x:row>
    <x:row r="35" ht="52" customHeight="1">
      <x:c r="A35" s="492">
        <x:v>12</x:v>
      </x:c>
      <x:c r="B35" s="493" t="e" cm="1">
        <x:f t="array" ref="B35">LOOKUP(1,0/((WHSU6439229!X:X=$D$9)*(WHSU6439229!A:A=A35)),WHSU6439229!D:D)</x:f>
        <x:v>#N/A</x:v>
      </x:c>
      <x:c r="C35" s="494" t="e" cm="1">
        <x:f t="array" ref="C35">LOOKUP(1,0/((WHSU6439229!X:X=$D$9)*(WHSU6439229!A:A=A35)),WHSU6439229!G:G&amp;WHSU6439229!F:F)</x:f>
        <x:v>#N/A</x:v>
      </x:c>
      <x:c r="D35" s="495" t="e" cm="1">
        <x:f t="array" ref="D35">LOOKUP(1,0/((WHSU6439229!X:X=$D$9)*(WHSU6439229!A:A=A35)),WHSU6439229!K:K)</x:f>
        <x:v>#N/A</x:v>
      </x:c>
      <x:c r="E35" s="495" t="e" cm="1">
        <x:f t="array" ref="E35">LOOKUP(1,0/((WHSU6439229!X:X=$D$9)*(WHSU6439229!A:A=A35)),WHSU6439229!J:J)</x:f>
        <x:v>#N/A</x:v>
      </x:c>
      <x:c r="F35" s="495" t="e" cm="1">
        <x:f t="array" ref="F35">LOOKUP(1,0/((WHSU6439229!X:X=$D$9)*(WHSU6439229!A:A=A35)),WHSU6439229!L:L)</x:f>
        <x:v>#N/A</x:v>
      </x:c>
      <x:c r="G35" s="495" t="e" cm="1">
        <x:f t="array" ref="G35">LOOKUP(1,0/((WHSU6439229!X:X=$D$9)*(WHSU6439229!A:A=A35)),WHSU6439229!M:M)</x:f>
        <x:v>#N/A</x:v>
      </x:c>
      <x:c r="H35" s="496" t="e" cm="1">
        <x:f t="array" ref="H35">LOOKUP(1,0/((WHSU6439229!X:X=$D$9)*(WHSU6439229!A:A=A35)),WHSU6439229!P:P)</x:f>
        <x:v>#N/A</x:v>
      </x:c>
      <x:c r="I35" s="497" t="e" cm="1">
        <x:f t="array" ref="I35">LOOKUP(1,0/((WHSU6439229!X:X=$D$9)*(WHSU6439229!A:A=A35)),WHSU6439229!Q:Q)</x:f>
        <x:v>#N/A</x:v>
      </x:c>
      <x:c r="J35" s="497" t="e" cm="1">
        <x:f t="array" ref="J35">LOOKUP(1,0/((WHSU6439229!X:X=$D$9)*(WHSU6439229!A:A=A35)),WHSU6439229!AT:AT)</x:f>
        <x:v>#N/A</x:v>
      </x:c>
      <x:c r="K35" s="498" t="e" cm="1">
        <x:f t="array" ref="K35">LOOKUP(1,0/((WHSU6439229!X:X=$D$9)*(WHSU6439229!A:A=A35)),WHSU6439229!S:S)</x:f>
        <x:v>#N/A</x:v>
      </x:c>
    </x:row>
    <x:row r="36" ht="52" customHeight="1">
      <x:c r="A36" s="492">
        <x:v>13</x:v>
      </x:c>
      <x:c r="B36" s="493" t="e" cm="1">
        <x:f t="array" ref="B36">LOOKUP(1,0/((WHSU6439229!X:X=$D$9)*(WHSU6439229!A:A=A36)),WHSU6439229!D:D)</x:f>
        <x:v>#N/A</x:v>
      </x:c>
      <x:c r="C36" s="494" t="e" cm="1">
        <x:f t="array" ref="C36">LOOKUP(1,0/((WHSU6439229!X:X=$D$9)*(WHSU6439229!A:A=A36)),WHSU6439229!G:G&amp;WHSU6439229!F:F)</x:f>
        <x:v>#N/A</x:v>
      </x:c>
      <x:c r="D36" s="495" t="e" cm="1">
        <x:f t="array" ref="D36">LOOKUP(1,0/((WHSU6439229!X:X=$D$9)*(WHSU6439229!A:A=A36)),WHSU6439229!K:K)</x:f>
        <x:v>#N/A</x:v>
      </x:c>
      <x:c r="E36" s="495" t="e" cm="1">
        <x:f t="array" ref="E36">LOOKUP(1,0/((WHSU6439229!X:X=$D$9)*(WHSU6439229!A:A=A36)),WHSU6439229!J:J)</x:f>
        <x:v>#N/A</x:v>
      </x:c>
      <x:c r="F36" s="495" t="e" cm="1">
        <x:f t="array" ref="F36">LOOKUP(1,0/((WHSU6439229!X:X=$D$9)*(WHSU6439229!A:A=A36)),WHSU6439229!L:L)</x:f>
        <x:v>#N/A</x:v>
      </x:c>
      <x:c r="G36" s="495" t="e" cm="1">
        <x:f t="array" ref="G36">LOOKUP(1,0/((WHSU6439229!X:X=$D$9)*(WHSU6439229!A:A=A36)),WHSU6439229!M:M)</x:f>
        <x:v>#N/A</x:v>
      </x:c>
      <x:c r="H36" s="496" t="e" cm="1">
        <x:f t="array" ref="H36">LOOKUP(1,0/((WHSU6439229!X:X=$D$9)*(WHSU6439229!A:A=A36)),WHSU6439229!P:P)</x:f>
        <x:v>#N/A</x:v>
      </x:c>
      <x:c r="I36" s="497" t="e" cm="1">
        <x:f t="array" ref="I36">LOOKUP(1,0/((WHSU6439229!X:X=$D$9)*(WHSU6439229!A:A=A36)),WHSU6439229!Q:Q)</x:f>
        <x:v>#N/A</x:v>
      </x:c>
      <x:c r="J36" s="497" t="e" cm="1">
        <x:f t="array" ref="J36">LOOKUP(1,0/((WHSU6439229!X:X=$D$9)*(WHSU6439229!A:A=A36)),WHSU6439229!AT:AT)</x:f>
        <x:v>#N/A</x:v>
      </x:c>
      <x:c r="K36" s="498" t="e" cm="1">
        <x:f t="array" ref="K36">LOOKUP(1,0/((WHSU6439229!X:X=$D$9)*(WHSU6439229!A:A=A36)),WHSU6439229!S:S)</x:f>
        <x:v>#N/A</x:v>
      </x:c>
    </x:row>
    <x:row r="37" ht="52" customHeight="1">
      <x:c r="A37" s="492">
        <x:v>14</x:v>
      </x:c>
      <x:c r="B37" s="493" t="e" cm="1">
        <x:f t="array" ref="B37">LOOKUP(1,0/((WHSU6439229!X:X=$D$9)*(WHSU6439229!A:A=A37)),WHSU6439229!D:D)</x:f>
        <x:v>#N/A</x:v>
      </x:c>
      <x:c r="C37" s="494" t="e" cm="1">
        <x:f t="array" ref="C37">LOOKUP(1,0/((WHSU6439229!X:X=$D$9)*(WHSU6439229!A:A=A37)),WHSU6439229!G:G&amp;WHSU6439229!F:F)</x:f>
        <x:v>#N/A</x:v>
      </x:c>
      <x:c r="D37" s="495" t="e" cm="1">
        <x:f t="array" ref="D37">LOOKUP(1,0/((WHSU6439229!X:X=$D$9)*(WHSU6439229!A:A=A37)),WHSU6439229!K:K)</x:f>
        <x:v>#N/A</x:v>
      </x:c>
      <x:c r="E37" s="495" t="e" cm="1">
        <x:f t="array" ref="E37">LOOKUP(1,0/((WHSU6439229!X:X=$D$9)*(WHSU6439229!A:A=A37)),WHSU6439229!J:J)</x:f>
        <x:v>#N/A</x:v>
      </x:c>
      <x:c r="F37" s="495" t="e" cm="1">
        <x:f t="array" ref="F37">LOOKUP(1,0/((WHSU6439229!X:X=$D$9)*(WHSU6439229!A:A=A37)),WHSU6439229!L:L)</x:f>
        <x:v>#N/A</x:v>
      </x:c>
      <x:c r="G37" s="495" t="e" cm="1">
        <x:f t="array" ref="G37">LOOKUP(1,0/((WHSU6439229!X:X=$D$9)*(WHSU6439229!A:A=A37)),WHSU6439229!M:M)</x:f>
        <x:v>#N/A</x:v>
      </x:c>
      <x:c r="H37" s="496" t="e" cm="1">
        <x:f t="array" ref="H37">LOOKUP(1,0/((WHSU6439229!X:X=$D$9)*(WHSU6439229!A:A=A37)),WHSU6439229!P:P)</x:f>
        <x:v>#N/A</x:v>
      </x:c>
      <x:c r="I37" s="497" t="e" cm="1">
        <x:f t="array" ref="I37">LOOKUP(1,0/((WHSU6439229!X:X=$D$9)*(WHSU6439229!A:A=A37)),WHSU6439229!Q:Q)</x:f>
        <x:v>#N/A</x:v>
      </x:c>
      <x:c r="J37" s="497" t="e" cm="1">
        <x:f t="array" ref="J37">LOOKUP(1,0/((WHSU6439229!X:X=$D$9)*(WHSU6439229!A:A=A37)),WHSU6439229!AT:AT)</x:f>
        <x:v>#N/A</x:v>
      </x:c>
      <x:c r="K37" s="498" t="e" cm="1">
        <x:f t="array" ref="K37">LOOKUP(1,0/((WHSU6439229!X:X=$D$9)*(WHSU6439229!A:A=A37)),WHSU6439229!S:S)</x:f>
        <x:v>#N/A</x:v>
      </x:c>
    </x:row>
    <x:row r="38" ht="52" customHeight="1">
      <x:c r="A38" s="492">
        <x:v>15</x:v>
      </x:c>
      <x:c r="B38" s="493" t="e" cm="1">
        <x:f t="array" ref="B38">LOOKUP(1,0/((WHSU6439229!X:X=$D$9)*(WHSU6439229!A:A=A38)),WHSU6439229!D:D)</x:f>
        <x:v>#N/A</x:v>
      </x:c>
      <x:c r="C38" s="494" t="e" cm="1">
        <x:f t="array" ref="C38">LOOKUP(1,0/((WHSU6439229!X:X=$D$9)*(WHSU6439229!A:A=A38)),WHSU6439229!G:G&amp;WHSU6439229!F:F)</x:f>
        <x:v>#N/A</x:v>
      </x:c>
      <x:c r="D38" s="495" t="e" cm="1">
        <x:f t="array" ref="D38">LOOKUP(1,0/((WHSU6439229!X:X=$D$9)*(WHSU6439229!A:A=A38)),WHSU6439229!K:K)</x:f>
        <x:v>#N/A</x:v>
      </x:c>
      <x:c r="E38" s="495" t="e" cm="1">
        <x:f t="array" ref="E38">LOOKUP(1,0/((WHSU6439229!X:X=$D$9)*(WHSU6439229!A:A=A38)),WHSU6439229!J:J)</x:f>
        <x:v>#N/A</x:v>
      </x:c>
      <x:c r="F38" s="495" t="e" cm="1">
        <x:f t="array" ref="F38">LOOKUP(1,0/((WHSU6439229!X:X=$D$9)*(WHSU6439229!A:A=A38)),WHSU6439229!L:L)</x:f>
        <x:v>#N/A</x:v>
      </x:c>
      <x:c r="G38" s="495" t="e" cm="1">
        <x:f t="array" ref="G38">LOOKUP(1,0/((WHSU6439229!X:X=$D$9)*(WHSU6439229!A:A=A38)),WHSU6439229!M:M)</x:f>
        <x:v>#N/A</x:v>
      </x:c>
      <x:c r="H38" s="496" t="e" cm="1">
        <x:f t="array" ref="H38">LOOKUP(1,0/((WHSU6439229!X:X=$D$9)*(WHSU6439229!A:A=A38)),WHSU6439229!P:P)</x:f>
        <x:v>#N/A</x:v>
      </x:c>
      <x:c r="I38" s="497" t="e" cm="1">
        <x:f t="array" ref="I38">LOOKUP(1,0/((WHSU6439229!X:X=$D$9)*(WHSU6439229!A:A=A38)),WHSU6439229!Q:Q)</x:f>
        <x:v>#N/A</x:v>
      </x:c>
      <x:c r="J38" s="497" t="e" cm="1">
        <x:f t="array" ref="J38">LOOKUP(1,0/((WHSU6439229!X:X=$D$9)*(WHSU6439229!A:A=A38)),WHSU6439229!AT:AT)</x:f>
        <x:v>#N/A</x:v>
      </x:c>
      <x:c r="K38" s="498" t="e" cm="1">
        <x:f t="array" ref="K38">LOOKUP(1,0/((WHSU6439229!X:X=$D$9)*(WHSU6439229!A:A=A38)),WHSU6439229!S:S)</x:f>
        <x:v>#N/A</x:v>
      </x:c>
    </x:row>
    <x:row r="39" ht="52" customHeight="1">
      <x:c r="A39" s="492"/>
      <x:c r="B39" s="499"/>
      <x:c r="C39" s="494"/>
      <x:c r="D39" s="495"/>
      <x:c r="E39" s="495"/>
      <x:c r="F39" s="495"/>
      <x:c r="G39" s="495"/>
      <x:c r="H39" s="496"/>
      <x:c r="I39" s="497"/>
      <x:c r="J39" s="497"/>
      <x:c r="K39" s="498"/>
    </x:row>
    <x:row r="40" ht="18">
      <x:c r="A40" s="500"/>
      <x:c r="B40" s="501"/>
      <x:c r="C40" s="494"/>
      <x:c r="D40" s="502" t="e">
        <x:f>SUM(D24:D39)</x:f>
        <x:v>#N/A</x:v>
      </x:c>
      <x:c r="E40" s="503"/>
      <x:c r="F40" s="502"/>
      <x:c r="G40" s="502"/>
      <x:c r="H40" s="502" t="e">
        <x:f>SUM(H24:H39)</x:f>
        <x:v>#N/A</x:v>
      </x:c>
      <x:c r="I40" s="502" t="e">
        <x:f>SUM(I24:I39)</x:f>
        <x:v>#N/A</x:v>
      </x:c>
      <x:c r="J40" s="502" t="e">
        <x:f>SUM(J24:J39)</x:f>
        <x:v>#N/A</x:v>
      </x:c>
      <x:c r="K40" s="502" t="e">
        <x:f>SUM(K24:K39)</x:f>
        <x:v>#N/A</x:v>
      </x:c>
    </x:row>
    <x:row r="41" ht="18.75">
      <x:c r="A41" s="504"/>
      <x:c r="B41" s="505"/>
      <x:c r="C41" s="506"/>
      <x:c r="D41" s="507"/>
      <x:c r="E41" s="508" t="s">
        <x:v>86</x:v>
      </x:c>
      <x:c r="F41" s="508"/>
      <x:c r="G41" s="508"/>
      <x:c r="H41" s="508" t="s">
        <x:v>86</x:v>
      </x:c>
      <x:c r="I41" s="508" t="s">
        <x:v>86</x:v>
      </x:c>
      <x:c r="J41" s="508" t="s">
        <x:v>86</x:v>
      </x:c>
      <x:c r="K41" s="508" t="s">
        <x:v>86</x:v>
      </x:c>
    </x:row>
    <x:row r="42" ht="18.75">
      <x:c r="A42" s="509"/>
      <x:c r="B42" s="501"/>
      <x:c r="C42" s="501"/>
      <x:c r="D42" s="510"/>
      <x:c r="E42" s="511"/>
      <x:c r="F42" s="511"/>
      <x:c r="G42" s="511"/>
      <x:c r="H42" s="511"/>
      <x:c r="I42" s="511"/>
      <x:c r="J42" s="511"/>
      <x:c r="K42" s="511"/>
    </x:row>
    <x:row r="43" ht="25.5">
      <x:c r="A43" s="408" t="s">
        <x:v>79</x:v>
      </x:c>
      <x:c r="B43" s="409"/>
      <x:c r="C43" s="409"/>
      <x:c r="D43" s="409"/>
      <x:c r="E43" s="409"/>
      <x:c r="F43" s="409"/>
      <x:c r="G43" s="409"/>
      <x:c r="H43" s="409"/>
      <x:c r="I43" s="409"/>
      <x:c r="J43" s="409"/>
      <x:c r="K43" s="410"/>
    </x:row>
    <x:row r="44">
      <x:c r="A44" s="411" t="s">
        <x:v>196</x:v>
      </x:c>
      <x:c r="B44" s="412"/>
      <x:c r="C44" s="412"/>
      <x:c r="D44" s="412"/>
      <x:c r="E44" s="412"/>
      <x:c r="F44" s="412"/>
      <x:c r="G44" s="412"/>
      <x:c r="H44" s="412"/>
      <x:c r="I44" s="412"/>
      <x:c r="J44" s="412"/>
      <x:c r="K44" s="413"/>
    </x:row>
    <x:row r="45">
      <x:c r="A45" s="411"/>
      <x:c r="B45" s="412"/>
      <x:c r="C45" s="412"/>
      <x:c r="D45" s="412"/>
      <x:c r="E45" s="412"/>
      <x:c r="F45" s="412"/>
      <x:c r="G45" s="412"/>
      <x:c r="H45" s="412"/>
      <x:c r="I45" s="412"/>
      <x:c r="J45" s="412"/>
      <x:c r="K45" s="413"/>
    </x:row>
    <x:row r="46" ht="18">
      <x:c r="A46" s="414"/>
      <x:c r="B46" s="415"/>
      <x:c r="C46" s="415"/>
      <x:c r="D46" s="415"/>
      <x:c r="E46" s="415"/>
      <x:c r="F46" s="415"/>
      <x:c r="G46" s="415"/>
      <x:c r="H46" s="415"/>
      <x:c r="I46" s="415"/>
      <x:c r="J46" s="415"/>
      <x:c r="K46" s="416"/>
    </x:row>
    <x:row r="47" ht="18">
      <x:c r="A47" s="414"/>
      <x:c r="B47" s="415"/>
      <x:c r="C47" s="415"/>
      <x:c r="D47" s="415"/>
      <x:c r="E47" s="415"/>
      <x:c r="F47" s="415"/>
      <x:c r="G47" s="415"/>
      <x:c r="H47" s="415"/>
      <x:c r="I47" s="415"/>
      <x:c r="J47" s="415"/>
      <x:c r="K47" s="416"/>
    </x:row>
    <x:row r="48">
      <x:c r="A48" s="417" t="s">
        <x:v>197</x:v>
      </x:c>
      <x:c r="B48" s="418"/>
      <x:c r="C48" s="418"/>
      <x:c r="D48" s="418"/>
      <x:c r="E48" s="418"/>
      <x:c r="F48" s="418"/>
      <x:c r="G48" s="418"/>
      <x:c r="H48" s="418"/>
      <x:c r="I48" s="418"/>
      <x:c r="J48" s="418"/>
      <x:c r="K48" s="419"/>
    </x:row>
    <x:row r="49" ht="14.25">
      <x:c r="A49" s="417"/>
      <x:c r="B49" s="418"/>
      <x:c r="C49" s="418"/>
      <x:c r="D49" s="418"/>
      <x:c r="E49" s="418"/>
      <x:c r="F49" s="418"/>
      <x:c r="G49" s="418"/>
      <x:c r="H49" s="418"/>
      <x:c r="I49" s="418"/>
      <x:c r="J49" s="418"/>
      <x:c r="K49" s="419"/>
    </x:row>
    <x:row r="50" ht="16.5">
      <x:c r="A50" s="420" t="s">
        <x:v>198</x:v>
      </x:c>
      <x:c r="B50" s="421"/>
      <x:c r="C50" s="421"/>
      <x:c r="D50" s="422" t="s">
        <x:v>199</x:v>
      </x:c>
      <x:c r="E50" s="423"/>
      <x:c r="F50" s="423"/>
      <x:c r="G50" s="423"/>
      <x:c r="H50" s="422" t="s">
        <x:v>200</x:v>
      </x:c>
      <x:c r="I50" s="424"/>
      <x:c r="J50" s="424"/>
      <x:c r="K50" s="425"/>
    </x:row>
    <x:row r="51" ht="16" customHeight="1">
      <x:c r="A51" s="426" t="s">
        <x:v>201</x:v>
      </x:c>
      <x:c r="B51" s="427"/>
      <x:c r="C51" s="427"/>
      <x:c r="D51" s="428" t="e">
        <x:f>全球发票!J64</x:f>
        <x:v>#NAME?</x:v>
      </x:c>
      <x:c r="E51" s="429"/>
      <x:c r="F51" s="429"/>
      <x:c r="G51" s="429"/>
      <x:c r="H51" s="430"/>
      <x:c r="I51" s="431"/>
      <x:c r="J51" s="431"/>
      <x:c r="K51" s="432"/>
    </x:row>
    <x:row r="52" ht="16" customHeight="1">
      <x:c r="A52" s="426"/>
      <x:c r="B52" s="427"/>
      <x:c r="C52" s="427"/>
      <x:c r="D52" s="433" t="s">
        <x:v>202</x:v>
      </x:c>
      <x:c r="E52" s="434"/>
      <x:c r="F52" s="434"/>
      <x:c r="G52" s="435"/>
      <x:c r="H52" s="436"/>
      <x:c r="I52" s="436"/>
      <x:c r="J52" s="436"/>
      <x:c r="K52" s="437"/>
    </x:row>
    <x:row r="53" ht="16" customHeight="1">
      <x:c r="A53" s="426"/>
      <x:c r="B53" s="427"/>
      <x:c r="C53" s="427"/>
      <x:c r="D53" s="438" t="n">
        <x:f>D11</x:f>
        <x:v>46265</x:v>
      </x:c>
      <x:c r="E53" s="439"/>
      <x:c r="F53" s="439"/>
      <x:c r="G53" s="440"/>
      <x:c r="H53" s="441"/>
      <x:c r="I53" s="442"/>
      <x:c r="J53" s="442"/>
      <x:c r="K53" s="443"/>
    </x:row>
    <x:row r="54" ht="16.5">
      <x:c r="A54" s="444" t="s">
        <x:v>203</x:v>
      </x:c>
      <x:c r="B54" s="445"/>
      <x:c r="C54" s="446"/>
      <x:c r="D54" s="447" t="s">
        <x:v>204</x:v>
      </x:c>
      <x:c r="E54" s="448"/>
      <x:c r="F54" s="448"/>
      <x:c r="G54" s="448"/>
      <x:c r="H54" s="449" t="s">
        <x:v>205</x:v>
      </x:c>
      <x:c r="I54" s="436"/>
      <x:c r="J54" s="450"/>
      <x:c r="K54" s="451"/>
    </x:row>
    <x:row r="55" ht="16.5">
      <x:c r="A55" s="444" t="s">
        <x:v>206</x:v>
      </x:c>
      <x:c r="B55" s="445"/>
      <x:c r="C55" s="446"/>
      <x:c r="D55" s="452" t="e">
        <x:f>全球合同!H59</x:f>
        <x:v>#NAME?</x:v>
      </x:c>
      <x:c r="E55" s="452"/>
      <x:c r="F55" s="452"/>
      <x:c r="G55" s="452"/>
      <x:c r="H55" s="453"/>
      <x:c r="I55" s="453"/>
      <x:c r="J55" s="453"/>
      <x:c r="K55" s="454"/>
    </x:row>
    <x:row r="56" ht="16.5">
      <x:c r="A56" s="455" t="s">
        <x:v>207</x:v>
      </x:c>
      <x:c r="B56" s="456"/>
      <x:c r="C56" s="456"/>
      <x:c r="D56" s="457"/>
      <x:c r="E56" s="457"/>
      <x:c r="F56" s="457"/>
      <x:c r="G56" s="457"/>
      <x:c r="H56" s="453"/>
      <x:c r="I56" s="453"/>
      <x:c r="J56" s="453"/>
      <x:c r="K56" s="454"/>
    </x:row>
    <x:row r="57" ht="16.5">
      <x:c r="A57" s="458" t="s">
        <x:v>208</x:v>
      </x:c>
      <x:c r="B57" s="459"/>
      <x:c r="C57" s="460"/>
      <x:c r="D57" s="457"/>
      <x:c r="E57" s="457"/>
      <x:c r="F57" s="457"/>
      <x:c r="G57" s="457"/>
      <x:c r="H57" s="461"/>
      <x:c r="I57" s="461"/>
      <x:c r="J57" s="461"/>
      <x:c r="K57" s="462"/>
    </x:row>
    <x:row r="58" ht="16.5">
      <x:c r="A58" s="463" t="s">
        <x:v>91</x:v>
      </x:c>
      <x:c r="B58" s="464"/>
      <x:c r="C58" s="446"/>
      <x:c r="D58" s="447" t="s">
        <x:v>209</x:v>
      </x:c>
      <x:c r="E58" s="434"/>
      <x:c r="F58" s="434"/>
      <x:c r="G58" s="435"/>
      <x:c r="H58" s="436" t="s">
        <x:v>210</x:v>
      </x:c>
      <x:c r="I58" s="436"/>
      <x:c r="J58" s="450"/>
      <x:c r="K58" s="451"/>
    </x:row>
    <x:row r="59" ht="16.5">
      <x:c r="A59" s="463" t="s">
        <x:v>151</x:v>
      </x:c>
      <x:c r="B59" s="464"/>
      <x:c r="C59" s="465"/>
      <x:c r="D59" s="466" t="str">
        <x:f>D17</x:f>
        <x:v>WHSU7042278</x:v>
      </x:c>
      <x:c r="E59" s="467"/>
      <x:c r="F59" s="467"/>
      <x:c r="G59" s="468"/>
      <x:c r="H59" s="467" t="str">
        <x:f>H17</x:f>
        <x:v>WHAC079825</x:v>
      </x:c>
      <x:c r="I59" s="467"/>
      <x:c r="J59" s="467"/>
      <x:c r="K59" s="469"/>
    </x:row>
    <x:row r="60" ht="16.5">
      <x:c r="A60" s="470" t="s">
        <x:v>213</x:v>
      </x:c>
      <x:c r="B60" s="471"/>
      <x:c r="C60" s="472"/>
      <x:c r="D60" s="466"/>
      <x:c r="E60" s="467"/>
      <x:c r="F60" s="467"/>
      <x:c r="G60" s="468"/>
      <x:c r="H60" s="467"/>
      <x:c r="I60" s="467"/>
      <x:c r="J60" s="467"/>
      <x:c r="K60" s="469"/>
    </x:row>
    <x:row r="61" ht="16.5">
      <x:c r="A61" s="470" t="s">
        <x:v>214</x:v>
      </x:c>
      <x:c r="B61" s="471"/>
      <x:c r="C61" s="472"/>
      <x:c r="D61" s="466"/>
      <x:c r="E61" s="467"/>
      <x:c r="F61" s="467"/>
      <x:c r="G61" s="468"/>
      <x:c r="H61" s="467"/>
      <x:c r="I61" s="467"/>
      <x:c r="J61" s="467"/>
      <x:c r="K61" s="469"/>
    </x:row>
    <x:row r="62" ht="16.5">
      <x:c r="A62" s="473" t="s">
        <x:v>152</x:v>
      </x:c>
      <x:c r="B62" s="471"/>
      <x:c r="C62" s="472"/>
      <x:c r="D62" s="474"/>
      <x:c r="E62" s="475"/>
      <x:c r="F62" s="475"/>
      <x:c r="G62" s="476"/>
      <x:c r="H62" s="475"/>
      <x:c r="I62" s="475"/>
      <x:c r="J62" s="475"/>
      <x:c r="K62" s="477"/>
    </x:row>
    <x:row r="63" ht="18">
      <x:c r="A63" s="478" t="s">
        <x:v>153</x:v>
      </x:c>
      <x:c r="B63" s="471"/>
      <x:c r="C63" s="465"/>
      <x:c r="D63" s="447"/>
      <x:c r="E63" s="434"/>
      <x:c r="F63" s="434"/>
      <x:c r="G63" s="434"/>
      <x:c r="H63" s="479"/>
      <x:c r="I63" s="434"/>
      <x:c r="J63" s="434"/>
      <x:c r="K63" s="480"/>
    </x:row>
    <x:row r="64" ht="18" customHeight="1">
      <x:c r="A64" s="473" t="s">
        <x:v>94</x:v>
      </x:c>
      <x:c r="B64" s="481"/>
      <x:c r="C64" s="465"/>
      <x:c r="D64" s="482"/>
      <x:c r="E64" s="483"/>
      <x:c r="F64" s="483"/>
      <x:c r="G64" s="483"/>
      <x:c r="H64" s="483"/>
      <x:c r="I64" s="483"/>
      <x:c r="J64" s="483"/>
      <x:c r="K64" s="484"/>
    </x:row>
    <x:row r="65" ht="38.25">
      <x:c r="A65" s="485" t="s">
        <x:v>215</x:v>
      </x:c>
      <x:c r="B65" s="486" t="s">
        <x:v>161</x:v>
      </x:c>
      <x:c r="C65" s="487" t="s">
        <x:v>162</x:v>
      </x:c>
      <x:c r="D65" s="488" t="s">
        <x:v>163</x:v>
      </x:c>
      <x:c r="E65" s="488" t="s">
        <x:v>28</x:v>
      </x:c>
      <x:c r="F65" s="488" t="s">
        <x:v>163</x:v>
      </x:c>
      <x:c r="G65" s="486" t="s">
        <x:v>28</x:v>
      </x:c>
      <x:c r="H65" s="489" t="s">
        <x:v>216</x:v>
      </x:c>
      <x:c r="I65" s="490" t="s">
        <x:v>217</x:v>
      </x:c>
      <x:c r="J65" s="490" t="s">
        <x:v>62</x:v>
      </x:c>
      <x:c r="K65" s="491" t="s">
        <x:v>218</x:v>
      </x:c>
    </x:row>
    <x:row r="66" s="407" customFormat="1" ht="52" customHeight="1">
      <x:c r="A66" s="492">
        <x:v>34</x:v>
      </x:c>
      <x:c r="B66" s="493" t="e" cm="1">
        <x:f t="array" ref="B66">LOOKUP(1,0/((WHSU6439229!X:X=$D$51)*(WHSU6439229!A:A=A66)),WHSU6439229!D:D)</x:f>
        <x:v>#N/A</x:v>
      </x:c>
      <x:c r="C66" s="494" t="e" cm="1">
        <x:f t="array" ref="C66">LOOKUP(1,0/((WHSU6439229!X:X=$D$51)*(WHSU6439229!A:A=A66)),WHSU6439229!G:G&amp;WHSU6439229!F:F)</x:f>
        <x:v>#N/A</x:v>
      </x:c>
      <x:c r="D66" s="495" t="e" cm="1">
        <x:f t="array" ref="D66">LOOKUP(1,0/((WHSU6439229!X:X=$D$51)*(WHSU6439229!A:A=A66)),WHSU6439229!K:K)</x:f>
        <x:v>#N/A</x:v>
      </x:c>
      <x:c r="E66" s="495" t="e" cm="1">
        <x:f t="array" ref="E66">LOOKUP(1,0/((WHSU6439229!X:X=$D$51)*(WHSU6439229!A:A=A66)),WHSU6439229!J:J)</x:f>
        <x:v>#N/A</x:v>
      </x:c>
      <x:c r="F66" s="495" t="e" cm="1">
        <x:f t="array" ref="F66">LOOKUP(1,0/((WHSU6439229!X:X=$D$51)*(WHSU6439229!A:A=A66)),WHSU6439229!L:L)</x:f>
        <x:v>#N/A</x:v>
      </x:c>
      <x:c r="G66" s="495" t="e" cm="1">
        <x:f t="array" ref="G66">LOOKUP(1,0/((WHSU6439229!X:X=$D$51)*(WHSU6439229!A:A=A66)),WHSU6439229!M:M)</x:f>
        <x:v>#N/A</x:v>
      </x:c>
      <x:c r="H66" s="496" t="e" cm="1">
        <x:f t="array" ref="H66">LOOKUP(1,0/((WHSU6439229!X:X=$D$51)*(WHSU6439229!A:A=A66)),WHSU6439229!P:P)</x:f>
        <x:v>#N/A</x:v>
      </x:c>
      <x:c r="I66" s="497" t="e" cm="1">
        <x:f t="array" ref="I66">LOOKUP(1,0/((WHSU6439229!X:X=$D$51)*(WHSU6439229!A:A=A66)),WHSU6439229!Q:Q)</x:f>
        <x:v>#N/A</x:v>
      </x:c>
      <x:c r="J66" s="497" t="e" cm="1">
        <x:f t="array" ref="J66">LOOKUP(1,0/((WHSU6439229!X:X=$D$51)*(WHSU6439229!A:A=A66)),WHSU6439229!AT:AT)</x:f>
        <x:v>#N/A</x:v>
      </x:c>
      <x:c r="K66" s="498" t="e" cm="1">
        <x:f t="array" ref="K66">LOOKUP(1,0/((WHSU6439229!X:X=$D$51)*(WHSU6439229!A:A=A66)),WHSU6439229!S:S)</x:f>
        <x:v>#N/A</x:v>
      </x:c>
    </x:row>
    <x:row r="67" ht="52" customHeight="1">
      <x:c r="A67" s="492"/>
      <x:c r="B67" s="493"/>
      <x:c r="C67" s="494"/>
      <x:c r="D67" s="495"/>
      <x:c r="E67" s="495"/>
      <x:c r="F67" s="495"/>
      <x:c r="G67" s="495"/>
      <x:c r="H67" s="496"/>
      <x:c r="I67" s="497"/>
      <x:c r="J67" s="497"/>
      <x:c r="K67" s="498"/>
    </x:row>
    <x:row r="68" ht="52" customHeight="1">
      <x:c r="A68" s="492"/>
      <x:c r="B68" s="493"/>
      <x:c r="C68" s="494"/>
      <x:c r="D68" s="495"/>
      <x:c r="E68" s="495"/>
      <x:c r="F68" s="495"/>
      <x:c r="G68" s="495"/>
      <x:c r="H68" s="496"/>
      <x:c r="I68" s="497"/>
      <x:c r="J68" s="497"/>
      <x:c r="K68" s="498"/>
    </x:row>
    <x:row r="69" ht="52" customHeight="1">
      <x:c r="A69" s="492"/>
      <x:c r="B69" s="493"/>
      <x:c r="C69" s="494"/>
      <x:c r="D69" s="495"/>
      <x:c r="E69" s="495"/>
      <x:c r="F69" s="495"/>
      <x:c r="G69" s="495"/>
      <x:c r="H69" s="496"/>
      <x:c r="I69" s="497"/>
      <x:c r="J69" s="497"/>
      <x:c r="K69" s="498"/>
    </x:row>
    <x:row r="70" ht="52" customHeight="1">
      <x:c r="A70" s="492"/>
      <x:c r="B70" s="493"/>
      <x:c r="C70" s="494"/>
      <x:c r="D70" s="495"/>
      <x:c r="E70" s="495"/>
      <x:c r="F70" s="495"/>
      <x:c r="G70" s="495"/>
      <x:c r="H70" s="496"/>
      <x:c r="I70" s="497"/>
      <x:c r="J70" s="497"/>
      <x:c r="K70" s="498"/>
    </x:row>
    <x:row r="71" ht="52" customHeight="1">
      <x:c r="A71" s="492"/>
      <x:c r="B71" s="499"/>
      <x:c r="C71" s="494"/>
      <x:c r="D71" s="495"/>
      <x:c r="E71" s="495"/>
      <x:c r="F71" s="495"/>
      <x:c r="G71" s="495"/>
      <x:c r="H71" s="496"/>
      <x:c r="I71" s="497"/>
      <x:c r="J71" s="497"/>
      <x:c r="K71" s="498"/>
    </x:row>
    <x:row r="72" ht="18">
      <x:c r="A72" s="500"/>
      <x:c r="B72" s="501"/>
      <x:c r="C72" s="494"/>
      <x:c r="D72" s="502" t="e">
        <x:f>SUM(D66:D71)</x:f>
        <x:v>#N/A</x:v>
      </x:c>
      <x:c r="E72" s="503"/>
      <x:c r="F72" s="502"/>
      <x:c r="G72" s="502"/>
      <x:c r="H72" s="502" t="e">
        <x:f>SUM(H66:H71)</x:f>
        <x:v>#N/A</x:v>
      </x:c>
      <x:c r="I72" s="502" t="e">
        <x:f>SUM(I66:I71)</x:f>
        <x:v>#N/A</x:v>
      </x:c>
      <x:c r="J72" s="502" t="e">
        <x:f>SUM(J66:J71)</x:f>
        <x:v>#N/A</x:v>
      </x:c>
      <x:c r="K72" s="502" t="e">
        <x:f>SUM(K66:K71)</x:f>
        <x:v>#N/A</x:v>
      </x:c>
    </x:row>
    <x:row r="73" ht="18.75">
      <x:c r="A73" s="504"/>
      <x:c r="B73" s="505"/>
      <x:c r="C73" s="506"/>
      <x:c r="D73" s="507"/>
      <x:c r="E73" s="508" t="s">
        <x:v>86</x:v>
      </x:c>
      <x:c r="F73" s="508"/>
      <x:c r="G73" s="508"/>
      <x:c r="H73" s="508" t="s">
        <x:v>86</x:v>
      </x:c>
      <x:c r="I73" s="508" t="s">
        <x:v>86</x:v>
      </x:c>
      <x:c r="J73" s="508" t="s">
        <x:v>86</x:v>
      </x:c>
      <x:c r="K73" s="508" t="s">
        <x:v>86</x:v>
      </x:c>
    </x:row>
    <x:row r="75" ht="18.75">
      <x:c r="A75" s="509"/>
      <x:c r="B75" s="501"/>
      <x:c r="C75" s="501"/>
      <x:c r="D75" s="510"/>
      <x:c r="E75" s="511"/>
      <x:c r="F75" s="511"/>
      <x:c r="G75" s="511"/>
      <x:c r="H75" s="511"/>
      <x:c r="I75" s="511"/>
      <x:c r="J75" s="511"/>
      <x:c r="K75" s="511"/>
    </x:row>
    <x:row r="76" ht="25.5">
      <x:c r="A76" s="408" t="s">
        <x:v>79</x:v>
      </x:c>
      <x:c r="B76" s="409"/>
      <x:c r="C76" s="409"/>
      <x:c r="D76" s="409"/>
      <x:c r="E76" s="409"/>
      <x:c r="F76" s="409"/>
      <x:c r="G76" s="409"/>
      <x:c r="H76" s="409"/>
      <x:c r="I76" s="409"/>
      <x:c r="J76" s="409"/>
      <x:c r="K76" s="410"/>
    </x:row>
    <x:row r="77">
      <x:c r="A77" s="411" t="s">
        <x:v>196</x:v>
      </x:c>
      <x:c r="B77" s="412"/>
      <x:c r="C77" s="412"/>
      <x:c r="D77" s="412"/>
      <x:c r="E77" s="412"/>
      <x:c r="F77" s="412"/>
      <x:c r="G77" s="412"/>
      <x:c r="H77" s="412"/>
      <x:c r="I77" s="412"/>
      <x:c r="J77" s="412"/>
      <x:c r="K77" s="413"/>
    </x:row>
    <x:row r="78">
      <x:c r="A78" s="411"/>
      <x:c r="B78" s="412"/>
      <x:c r="C78" s="412"/>
      <x:c r="D78" s="412"/>
      <x:c r="E78" s="412"/>
      <x:c r="F78" s="412"/>
      <x:c r="G78" s="412"/>
      <x:c r="H78" s="412"/>
      <x:c r="I78" s="412"/>
      <x:c r="J78" s="412"/>
      <x:c r="K78" s="413"/>
    </x:row>
    <x:row r="79" ht="18">
      <x:c r="A79" s="414"/>
      <x:c r="B79" s="415"/>
      <x:c r="C79" s="415"/>
      <x:c r="D79" s="415"/>
      <x:c r="E79" s="415"/>
      <x:c r="F79" s="415"/>
      <x:c r="G79" s="415"/>
      <x:c r="H79" s="415"/>
      <x:c r="I79" s="415"/>
      <x:c r="J79" s="415"/>
      <x:c r="K79" s="416"/>
    </x:row>
    <x:row r="80" ht="18">
      <x:c r="A80" s="414"/>
      <x:c r="B80" s="415"/>
      <x:c r="C80" s="415"/>
      <x:c r="D80" s="415"/>
      <x:c r="E80" s="415"/>
      <x:c r="F80" s="415"/>
      <x:c r="G80" s="415"/>
      <x:c r="H80" s="415"/>
      <x:c r="I80" s="415"/>
      <x:c r="J80" s="415"/>
      <x:c r="K80" s="416"/>
    </x:row>
    <x:row r="81">
      <x:c r="A81" s="417" t="s">
        <x:v>197</x:v>
      </x:c>
      <x:c r="B81" s="418"/>
      <x:c r="C81" s="418"/>
      <x:c r="D81" s="418"/>
      <x:c r="E81" s="418"/>
      <x:c r="F81" s="418"/>
      <x:c r="G81" s="418"/>
      <x:c r="H81" s="418"/>
      <x:c r="I81" s="418"/>
      <x:c r="J81" s="418"/>
      <x:c r="K81" s="419"/>
    </x:row>
    <x:row r="82" ht="14.25">
      <x:c r="A82" s="417"/>
      <x:c r="B82" s="418"/>
      <x:c r="C82" s="418"/>
      <x:c r="D82" s="418"/>
      <x:c r="E82" s="418"/>
      <x:c r="F82" s="418"/>
      <x:c r="G82" s="418"/>
      <x:c r="H82" s="418"/>
      <x:c r="I82" s="418"/>
      <x:c r="J82" s="418"/>
      <x:c r="K82" s="419"/>
    </x:row>
    <x:row r="83" ht="16.5">
      <x:c r="A83" s="420" t="s">
        <x:v>198</x:v>
      </x:c>
      <x:c r="B83" s="421"/>
      <x:c r="C83" s="421"/>
      <x:c r="D83" s="422" t="s">
        <x:v>199</x:v>
      </x:c>
      <x:c r="E83" s="423"/>
      <x:c r="F83" s="423"/>
      <x:c r="G83" s="423"/>
      <x:c r="H83" s="422" t="s">
        <x:v>200</x:v>
      </x:c>
      <x:c r="I83" s="424"/>
      <x:c r="J83" s="424"/>
      <x:c r="K83" s="425"/>
    </x:row>
    <x:row r="84" ht="16" customHeight="1">
      <x:c r="A84" s="426" t="s">
        <x:v>201</x:v>
      </x:c>
      <x:c r="B84" s="427"/>
      <x:c r="C84" s="427"/>
      <x:c r="D84" s="428" t="e">
        <x:f>全球发票!J103</x:f>
        <x:v>#NAME?</x:v>
      </x:c>
      <x:c r="E84" s="429"/>
      <x:c r="F84" s="429"/>
      <x:c r="G84" s="429"/>
      <x:c r="H84" s="430"/>
      <x:c r="I84" s="431"/>
      <x:c r="J84" s="431"/>
      <x:c r="K84" s="432"/>
    </x:row>
    <x:row r="85" ht="16" customHeight="1">
      <x:c r="A85" s="426"/>
      <x:c r="B85" s="427"/>
      <x:c r="C85" s="427"/>
      <x:c r="D85" s="433" t="s">
        <x:v>202</x:v>
      </x:c>
      <x:c r="E85" s="434"/>
      <x:c r="F85" s="434"/>
      <x:c r="G85" s="435"/>
      <x:c r="H85" s="436"/>
      <x:c r="I85" s="436"/>
      <x:c r="J85" s="436"/>
      <x:c r="K85" s="437"/>
    </x:row>
    <x:row r="86" ht="16" customHeight="1">
      <x:c r="A86" s="426"/>
      <x:c r="B86" s="427"/>
      <x:c r="C86" s="427"/>
      <x:c r="D86" s="438" t="n">
        <x:f>D11</x:f>
        <x:v>46265</x:v>
      </x:c>
      <x:c r="E86" s="439"/>
      <x:c r="F86" s="439"/>
      <x:c r="G86" s="440"/>
      <x:c r="H86" s="441"/>
      <x:c r="I86" s="442"/>
      <x:c r="J86" s="442"/>
      <x:c r="K86" s="443"/>
    </x:row>
    <x:row r="87" ht="16.5">
      <x:c r="A87" s="444" t="s">
        <x:v>203</x:v>
      </x:c>
      <x:c r="B87" s="445"/>
      <x:c r="C87" s="446"/>
      <x:c r="D87" s="447" t="s">
        <x:v>204</x:v>
      </x:c>
      <x:c r="E87" s="448"/>
      <x:c r="F87" s="448"/>
      <x:c r="G87" s="448"/>
      <x:c r="H87" s="449" t="s">
        <x:v>205</x:v>
      </x:c>
      <x:c r="I87" s="436"/>
      <x:c r="J87" s="450"/>
      <x:c r="K87" s="451"/>
    </x:row>
    <x:row r="88" ht="16.5">
      <x:c r="A88" s="444" t="s">
        <x:v>206</x:v>
      </x:c>
      <x:c r="B88" s="445"/>
      <x:c r="C88" s="446"/>
      <x:c r="D88" s="452" t="e">
        <x:f>全球合同!H101</x:f>
        <x:v>#NAME?</x:v>
      </x:c>
      <x:c r="E88" s="452"/>
      <x:c r="F88" s="452"/>
      <x:c r="G88" s="452"/>
      <x:c r="H88" s="453"/>
      <x:c r="I88" s="453"/>
      <x:c r="J88" s="453"/>
      <x:c r="K88" s="454"/>
    </x:row>
    <x:row r="89" ht="16.5">
      <x:c r="A89" s="455" t="s">
        <x:v>207</x:v>
      </x:c>
      <x:c r="B89" s="456"/>
      <x:c r="C89" s="456"/>
      <x:c r="D89" s="457"/>
      <x:c r="E89" s="457"/>
      <x:c r="F89" s="457"/>
      <x:c r="G89" s="457"/>
      <x:c r="H89" s="453"/>
      <x:c r="I89" s="453"/>
      <x:c r="J89" s="453"/>
      <x:c r="K89" s="454"/>
    </x:row>
    <x:row r="90" ht="16.5">
      <x:c r="A90" s="458" t="s">
        <x:v>208</x:v>
      </x:c>
      <x:c r="B90" s="459"/>
      <x:c r="C90" s="460"/>
      <x:c r="D90" s="457"/>
      <x:c r="E90" s="457"/>
      <x:c r="F90" s="457"/>
      <x:c r="G90" s="457"/>
      <x:c r="H90" s="461"/>
      <x:c r="I90" s="461"/>
      <x:c r="J90" s="461"/>
      <x:c r="K90" s="462"/>
    </x:row>
    <x:row r="91" ht="16.5">
      <x:c r="A91" s="463" t="s">
        <x:v>91</x:v>
      </x:c>
      <x:c r="B91" s="464"/>
      <x:c r="C91" s="446"/>
      <x:c r="D91" s="447" t="s">
        <x:v>209</x:v>
      </x:c>
      <x:c r="E91" s="434"/>
      <x:c r="F91" s="434"/>
      <x:c r="G91" s="435"/>
      <x:c r="H91" s="436" t="s">
        <x:v>210</x:v>
      </x:c>
      <x:c r="I91" s="436"/>
      <x:c r="J91" s="450"/>
      <x:c r="K91" s="451"/>
    </x:row>
    <x:row r="92" ht="16.5">
      <x:c r="A92" s="463" t="s">
        <x:v>151</x:v>
      </x:c>
      <x:c r="B92" s="464"/>
      <x:c r="C92" s="465"/>
      <x:c r="D92" s="466" t="str">
        <x:f>D17</x:f>
        <x:v>WHSU7042278</x:v>
      </x:c>
      <x:c r="E92" s="467"/>
      <x:c r="F92" s="467"/>
      <x:c r="G92" s="468"/>
      <x:c r="H92" s="467" t="str">
        <x:f>H17</x:f>
        <x:v>WHAC079825</x:v>
      </x:c>
      <x:c r="I92" s="467"/>
      <x:c r="J92" s="467"/>
      <x:c r="K92" s="469"/>
    </x:row>
    <x:row r="93" ht="16.5">
      <x:c r="A93" s="470" t="s">
        <x:v>213</x:v>
      </x:c>
      <x:c r="B93" s="471"/>
      <x:c r="C93" s="472"/>
      <x:c r="D93" s="466"/>
      <x:c r="E93" s="467"/>
      <x:c r="F93" s="467"/>
      <x:c r="G93" s="468"/>
      <x:c r="H93" s="467"/>
      <x:c r="I93" s="467"/>
      <x:c r="J93" s="467"/>
      <x:c r="K93" s="469"/>
    </x:row>
    <x:row r="94" ht="16.5">
      <x:c r="A94" s="470" t="s">
        <x:v>214</x:v>
      </x:c>
      <x:c r="B94" s="471"/>
      <x:c r="C94" s="472"/>
      <x:c r="D94" s="466"/>
      <x:c r="E94" s="467"/>
      <x:c r="F94" s="467"/>
      <x:c r="G94" s="468"/>
      <x:c r="H94" s="467"/>
      <x:c r="I94" s="467"/>
      <x:c r="J94" s="467"/>
      <x:c r="K94" s="469"/>
    </x:row>
    <x:row r="95" ht="16.5">
      <x:c r="A95" s="473" t="s">
        <x:v>152</x:v>
      </x:c>
      <x:c r="B95" s="471"/>
      <x:c r="C95" s="472"/>
      <x:c r="D95" s="474"/>
      <x:c r="E95" s="475"/>
      <x:c r="F95" s="475"/>
      <x:c r="G95" s="476"/>
      <x:c r="H95" s="475"/>
      <x:c r="I95" s="475"/>
      <x:c r="J95" s="475"/>
      <x:c r="K95" s="477"/>
    </x:row>
    <x:row r="96" ht="18">
      <x:c r="A96" s="478" t="s">
        <x:v>153</x:v>
      </x:c>
      <x:c r="B96" s="471"/>
      <x:c r="C96" s="465"/>
      <x:c r="D96" s="447"/>
      <x:c r="E96" s="434"/>
      <x:c r="F96" s="434"/>
      <x:c r="G96" s="434"/>
      <x:c r="H96" s="479"/>
      <x:c r="I96" s="434"/>
      <x:c r="J96" s="434"/>
      <x:c r="K96" s="480"/>
    </x:row>
    <x:row r="97" ht="18" customHeight="1">
      <x:c r="A97" s="473" t="s">
        <x:v>94</x:v>
      </x:c>
      <x:c r="B97" s="481"/>
      <x:c r="C97" s="465"/>
      <x:c r="D97" s="482"/>
      <x:c r="E97" s="483"/>
      <x:c r="F97" s="483"/>
      <x:c r="G97" s="483"/>
      <x:c r="H97" s="483"/>
      <x:c r="I97" s="483"/>
      <x:c r="J97" s="483"/>
      <x:c r="K97" s="484"/>
    </x:row>
    <x:row r="98" ht="38.25">
      <x:c r="A98" s="485" t="s">
        <x:v>215</x:v>
      </x:c>
      <x:c r="B98" s="486" t="s">
        <x:v>161</x:v>
      </x:c>
      <x:c r="C98" s="487" t="s">
        <x:v>162</x:v>
      </x:c>
      <x:c r="D98" s="488" t="s">
        <x:v>163</x:v>
      </x:c>
      <x:c r="E98" s="488" t="s">
        <x:v>28</x:v>
      </x:c>
      <x:c r="F98" s="488" t="s">
        <x:v>163</x:v>
      </x:c>
      <x:c r="G98" s="486" t="s">
        <x:v>28</x:v>
      </x:c>
      <x:c r="H98" s="489" t="s">
        <x:v>216</x:v>
      </x:c>
      <x:c r="I98" s="490" t="s">
        <x:v>217</x:v>
      </x:c>
      <x:c r="J98" s="490" t="s">
        <x:v>62</x:v>
      </x:c>
      <x:c r="K98" s="491" t="s">
        <x:v>218</x:v>
      </x:c>
    </x:row>
    <x:row r="99" s="407" customFormat="1" ht="52" customHeight="1">
      <x:c r="A99" s="492">
        <x:v>35</x:v>
      </x:c>
      <x:c r="B99" s="493" t="e" cm="1">
        <x:f t="array" ref="B99">LOOKUP(1,0/((WHSU6439229!X:X=$D$84)*(WHSU6439229!A:A=A99)),WHSU6439229!D:D)</x:f>
        <x:v>#N/A</x:v>
      </x:c>
      <x:c r="C99" s="494" t="e" cm="1">
        <x:f t="array" ref="C99">LOOKUP(1,0/((WHSU6439229!X:X=$D$84)*(WHSU6439229!A:A=A99)),WHSU6439229!G:G&amp;WHSU6439229!F:F)</x:f>
        <x:v>#N/A</x:v>
      </x:c>
      <x:c r="D99" s="495" t="e" cm="1">
        <x:f t="array" ref="D99">LOOKUP(1,0/((WHSU6439229!X:X=$D$84)*(WHSU6439229!A:A=A99)),WHSU6439229!K:K)</x:f>
        <x:v>#N/A</x:v>
      </x:c>
      <x:c r="E99" s="495" t="e" cm="1">
        <x:f t="array" ref="E99">LOOKUP(1,0/((WHSU6439229!X:X=$D$84)*(WHSU6439229!A:A=A99)),WHSU6439229!J:J)</x:f>
        <x:v>#N/A</x:v>
      </x:c>
      <x:c r="F99" s="495" t="e" cm="1">
        <x:f t="array" ref="F99">LOOKUP(1,0/((WHSU6439229!X:X=$D$84)*(WHSU6439229!A:A=A99)),WHSU6439229!L:L)</x:f>
        <x:v>#N/A</x:v>
      </x:c>
      <x:c r="G99" s="495" t="e" cm="1">
        <x:f t="array" ref="G99">LOOKUP(1,0/((WHSU6439229!X:X=$D$84)*(WHSU6439229!A:A=A99)),WHSU6439229!M:M)</x:f>
        <x:v>#N/A</x:v>
      </x:c>
      <x:c r="H99" s="496" t="e" cm="1">
        <x:f t="array" ref="H99">LOOKUP(1,0/((WHSU6439229!X:X=$D$84)*(WHSU6439229!A:A=A99)),WHSU6439229!P:P)</x:f>
        <x:v>#N/A</x:v>
      </x:c>
      <x:c r="I99" s="497" t="e" cm="1">
        <x:f t="array" ref="I99">LOOKUP(1,0/((WHSU6439229!X:X=$D$84)*(WHSU6439229!A:A=A99)),WHSU6439229!Q:Q)</x:f>
        <x:v>#N/A</x:v>
      </x:c>
      <x:c r="J99" s="497" t="e" cm="1">
        <x:f t="array" ref="J99">LOOKUP(1,0/((WHSU6439229!X:X=$D$84)*(WHSU6439229!A:A=A99)),WHSU6439229!AT:AT)</x:f>
        <x:v>#N/A</x:v>
      </x:c>
      <x:c r="K99" s="498" t="e" cm="1">
        <x:f t="array" ref="K99">LOOKUP(1,0/((WHSU6439229!X:X=$D$84)*(WHSU6439229!A:A=A99)),WHSU6439229!S:S)</x:f>
        <x:v>#N/A</x:v>
      </x:c>
    </x:row>
    <x:row r="100" ht="52" customHeight="1">
      <x:c r="A100" s="492"/>
      <x:c r="B100" s="493"/>
      <x:c r="C100" s="494"/>
      <x:c r="D100" s="495"/>
      <x:c r="E100" s="495"/>
      <x:c r="F100" s="495"/>
      <x:c r="G100" s="495"/>
      <x:c r="H100" s="496"/>
      <x:c r="I100" s="497"/>
      <x:c r="J100" s="497"/>
      <x:c r="K100" s="498"/>
    </x:row>
    <x:row r="101" ht="52" customHeight="1">
      <x:c r="A101" s="492"/>
      <x:c r="B101" s="493"/>
      <x:c r="C101" s="494"/>
      <x:c r="D101" s="495"/>
      <x:c r="E101" s="495"/>
      <x:c r="F101" s="495"/>
      <x:c r="G101" s="495"/>
      <x:c r="H101" s="496"/>
      <x:c r="I101" s="497"/>
      <x:c r="J101" s="497"/>
      <x:c r="K101" s="498"/>
    </x:row>
    <x:row r="102" ht="52" customHeight="1">
      <x:c r="A102" s="492"/>
      <x:c r="B102" s="493"/>
      <x:c r="C102" s="494"/>
      <x:c r="D102" s="495"/>
      <x:c r="E102" s="495"/>
      <x:c r="F102" s="495"/>
      <x:c r="G102" s="495"/>
      <x:c r="H102" s="496"/>
      <x:c r="I102" s="497"/>
      <x:c r="J102" s="497"/>
      <x:c r="K102" s="498"/>
    </x:row>
    <x:row r="103" ht="52" customHeight="1">
      <x:c r="A103" s="492"/>
      <x:c r="B103" s="493"/>
      <x:c r="C103" s="494"/>
      <x:c r="D103" s="495"/>
      <x:c r="E103" s="495"/>
      <x:c r="F103" s="495"/>
      <x:c r="G103" s="495"/>
      <x:c r="H103" s="496"/>
      <x:c r="I103" s="497"/>
      <x:c r="J103" s="497"/>
      <x:c r="K103" s="498"/>
    </x:row>
    <x:row r="104" ht="52" customHeight="1">
      <x:c r="A104" s="492"/>
      <x:c r="B104" s="499"/>
      <x:c r="C104" s="494"/>
      <x:c r="D104" s="495"/>
      <x:c r="E104" s="495"/>
      <x:c r="F104" s="495"/>
      <x:c r="G104" s="495"/>
      <x:c r="H104" s="496"/>
      <x:c r="I104" s="497"/>
      <x:c r="J104" s="497"/>
      <x:c r="K104" s="498"/>
    </x:row>
    <x:row r="105" ht="18">
      <x:c r="A105" s="500"/>
      <x:c r="B105" s="501"/>
      <x:c r="C105" s="494"/>
      <x:c r="D105" s="502" t="e">
        <x:f t="shared" ref="D105:K105" si="0">SUM(D99:D104)</x:f>
        <x:v>#N/A</x:v>
      </x:c>
      <x:c r="E105" s="503"/>
      <x:c r="F105" s="502"/>
      <x:c r="G105" s="502"/>
      <x:c r="H105" s="502">
        <x:f t="shared" si="0"/>
        <x:v>416.8</x:v>
      </x:c>
      <x:c r="I105" s="502">
        <x:f t="shared" si="0"/>
        <x:v>406.94</x:v>
      </x:c>
      <x:c r="J105" s="502">
        <x:f t="shared" si="0"/>
        <x:v>20</x:v>
      </x:c>
      <x:c r="K105" s="502">
        <x:f t="shared" si="0"/>
        <x:v>2.22</x:v>
      </x:c>
    </x:row>
    <x:row r="106" ht="18.75">
      <x:c r="A106" s="504"/>
      <x:c r="B106" s="505"/>
      <x:c r="C106" s="506"/>
      <x:c r="D106" s="507"/>
      <x:c r="E106" s="508" t="s">
        <x:v>86</x:v>
      </x:c>
      <x:c r="F106" s="508"/>
      <x:c r="G106" s="508"/>
      <x:c r="H106" s="508" t="s">
        <x:v>86</x:v>
      </x:c>
      <x:c r="I106" s="508" t="s">
        <x:v>86</x:v>
      </x:c>
      <x:c r="J106" s="508" t="s">
        <x:v>86</x:v>
      </x:c>
      <x:c r="K106" s="508" t="s">
        <x:v>86</x:v>
      </x:c>
    </x:row>
    <x:row r="108" ht="14.25"/>
    <x:row r="109" ht="25.5">
      <x:c r="A109" s="408" t="s">
        <x:v>91</x:v>
      </x:c>
      <x:c r="B109" s="409"/>
      <x:c r="C109" s="409"/>
      <x:c r="D109" s="409"/>
      <x:c r="E109" s="409"/>
      <x:c r="F109" s="409"/>
      <x:c r="G109" s="409"/>
      <x:c r="H109" s="409"/>
      <x:c r="I109" s="409"/>
      <x:c r="J109" s="409"/>
      <x:c r="K109" s="410"/>
    </x:row>
    <x:row r="110">
      <x:c r="A110" s="411" t="s">
        <x:v>219</x:v>
      </x:c>
      <x:c r="B110" s="412"/>
      <x:c r="C110" s="412"/>
      <x:c r="D110" s="412"/>
      <x:c r="E110" s="412"/>
      <x:c r="F110" s="412"/>
      <x:c r="G110" s="412"/>
      <x:c r="H110" s="412"/>
      <x:c r="I110" s="412"/>
      <x:c r="J110" s="412"/>
      <x:c r="K110" s="413"/>
    </x:row>
    <x:row r="111">
      <x:c r="A111" s="411"/>
      <x:c r="B111" s="412"/>
      <x:c r="C111" s="412"/>
      <x:c r="D111" s="412"/>
      <x:c r="E111" s="412"/>
      <x:c r="F111" s="412"/>
      <x:c r="G111" s="412"/>
      <x:c r="H111" s="412"/>
      <x:c r="I111" s="412"/>
      <x:c r="J111" s="412"/>
      <x:c r="K111" s="413"/>
    </x:row>
    <x:row r="112" ht="18">
      <x:c r="A112" s="414"/>
      <x:c r="B112" s="415"/>
      <x:c r="C112" s="415"/>
      <x:c r="D112" s="415"/>
      <x:c r="E112" s="415"/>
      <x:c r="F112" s="415"/>
      <x:c r="G112" s="415"/>
      <x:c r="H112" s="415"/>
      <x:c r="I112" s="415"/>
      <x:c r="J112" s="415"/>
      <x:c r="K112" s="416"/>
    </x:row>
    <x:row r="113" ht="18">
      <x:c r="A113" s="414"/>
      <x:c r="B113" s="415"/>
      <x:c r="C113" s="415"/>
      <x:c r="D113" s="415"/>
      <x:c r="E113" s="415"/>
      <x:c r="F113" s="415"/>
      <x:c r="G113" s="415"/>
      <x:c r="H113" s="415"/>
      <x:c r="I113" s="415"/>
      <x:c r="J113" s="415"/>
      <x:c r="K113" s="416"/>
    </x:row>
    <x:row r="114">
      <x:c r="A114" s="417" t="s">
        <x:v>197</x:v>
      </x:c>
      <x:c r="B114" s="418"/>
      <x:c r="C114" s="418"/>
      <x:c r="D114" s="418"/>
      <x:c r="E114" s="418"/>
      <x:c r="F114" s="418"/>
      <x:c r="G114" s="418"/>
      <x:c r="H114" s="418"/>
      <x:c r="I114" s="418"/>
      <x:c r="J114" s="418"/>
      <x:c r="K114" s="419"/>
    </x:row>
    <x:row r="115" ht="14.25">
      <x:c r="A115" s="417"/>
      <x:c r="B115" s="418"/>
      <x:c r="C115" s="418"/>
      <x:c r="D115" s="418"/>
      <x:c r="E115" s="418"/>
      <x:c r="F115" s="418"/>
      <x:c r="G115" s="418"/>
      <x:c r="H115" s="418"/>
      <x:c r="I115" s="418"/>
      <x:c r="J115" s="418"/>
      <x:c r="K115" s="419"/>
    </x:row>
    <x:row r="116" ht="16.5">
      <x:c r="A116" s="420" t="s">
        <x:v>198</x:v>
      </x:c>
      <x:c r="B116" s="421"/>
      <x:c r="C116" s="421"/>
      <x:c r="D116" s="422" t="s">
        <x:v>199</x:v>
      </x:c>
      <x:c r="E116" s="423"/>
      <x:c r="F116" s="423"/>
      <x:c r="G116" s="423"/>
      <x:c r="H116" s="422" t="s">
        <x:v>200</x:v>
      </x:c>
      <x:c r="I116" s="424"/>
      <x:c r="J116" s="424"/>
      <x:c r="K116" s="425"/>
    </x:row>
    <x:row r="117" ht="16" customHeight="1">
      <x:c r="A117" s="463" t="s">
        <x:v>181</x:v>
      </x:c>
      <x:c r="B117" s="464"/>
      <x:c r="C117" s="464"/>
      <x:c r="D117" s="428" t="e">
        <x:f>印尼发票!J10</x:f>
        <x:v>#NAME?</x:v>
      </x:c>
      <x:c r="E117" s="429"/>
      <x:c r="F117" s="429"/>
      <x:c r="G117" s="429"/>
      <x:c r="H117" s="430"/>
      <x:c r="I117" s="431"/>
      <x:c r="J117" s="431"/>
      <x:c r="K117" s="432"/>
    </x:row>
    <x:row r="118" ht="16" customHeight="1">
      <x:c r="A118" s="512" t="s">
        <x:v>220</x:v>
      </x:c>
      <x:c r="B118" s="513"/>
      <x:c r="C118" s="513"/>
      <x:c r="D118" s="433" t="s">
        <x:v>202</x:v>
      </x:c>
      <x:c r="E118" s="434"/>
      <x:c r="F118" s="434"/>
      <x:c r="G118" s="435"/>
      <x:c r="H118" s="436"/>
      <x:c r="I118" s="436"/>
      <x:c r="J118" s="436"/>
      <x:c r="K118" s="437"/>
    </x:row>
    <x:row r="119" ht="16" customHeight="1">
      <x:c r="A119" s="512" t="s">
        <x:v>221</x:v>
      </x:c>
      <x:c r="B119" s="513"/>
      <x:c r="C119" s="513"/>
      <x:c r="D119" s="438" t="n">
        <x:f>D11</x:f>
        <x:v>46265</x:v>
      </x:c>
      <x:c r="E119" s="439"/>
      <x:c r="F119" s="439"/>
      <x:c r="G119" s="440"/>
      <x:c r="H119" s="441"/>
      <x:c r="I119" s="442"/>
      <x:c r="J119" s="442"/>
      <x:c r="K119" s="443"/>
    </x:row>
    <x:row r="120" ht="16.5">
      <x:c r="A120" s="512" t="s">
        <x:v>222</x:v>
      </x:c>
      <x:c r="B120" s="513"/>
      <x:c r="C120" s="513"/>
      <x:c r="D120" s="447" t="s">
        <x:v>204</x:v>
      </x:c>
      <x:c r="E120" s="448"/>
      <x:c r="F120" s="448"/>
      <x:c r="G120" s="448"/>
      <x:c r="H120" s="449" t="s">
        <x:v>205</x:v>
      </x:c>
      <x:c r="I120" s="436"/>
      <x:c r="J120" s="450"/>
      <x:c r="K120" s="451"/>
    </x:row>
    <x:row r="121" ht="16.5">
      <x:c r="A121" s="512" t="s">
        <x:v>223</x:v>
      </x:c>
      <x:c r="B121" s="513"/>
      <x:c r="C121" s="513"/>
      <x:c r="D121" s="452" t="e">
        <x:f>印尼发票!J14</x:f>
        <x:v>#NAME?</x:v>
      </x:c>
      <x:c r="E121" s="452"/>
      <x:c r="F121" s="452"/>
      <x:c r="G121" s="452"/>
      <x:c r="H121" s="453"/>
      <x:c r="I121" s="453"/>
      <x:c r="J121" s="453"/>
      <x:c r="K121" s="454"/>
    </x:row>
    <x:row r="122" ht="16.5">
      <x:c r="A122" s="514" t="s">
        <x:v>224</x:v>
      </x:c>
      <x:c r="B122" s="515"/>
      <x:c r="C122" s="515"/>
      <x:c r="D122" s="457"/>
      <x:c r="E122" s="457"/>
      <x:c r="F122" s="457"/>
      <x:c r="G122" s="457"/>
      <x:c r="H122" s="453"/>
      <x:c r="I122" s="453"/>
      <x:c r="J122" s="453"/>
      <x:c r="K122" s="454"/>
    </x:row>
    <x:row r="123" ht="16.5">
      <x:c r="A123" s="458" t="s">
        <x:v>208</x:v>
      </x:c>
      <x:c r="B123" s="459"/>
      <x:c r="C123" s="460"/>
      <x:c r="D123" s="457"/>
      <x:c r="E123" s="457"/>
      <x:c r="F123" s="457"/>
      <x:c r="G123" s="457"/>
      <x:c r="H123" s="461"/>
      <x:c r="I123" s="461"/>
      <x:c r="J123" s="461"/>
      <x:c r="K123" s="462"/>
    </x:row>
    <x:row r="124" ht="16.5">
      <x:c r="A124" s="463" t="s">
        <x:v>91</x:v>
      </x:c>
      <x:c r="B124" s="464"/>
      <x:c r="C124" s="446"/>
      <x:c r="D124" s="447" t="s">
        <x:v>209</x:v>
      </x:c>
      <x:c r="E124" s="434"/>
      <x:c r="F124" s="434"/>
      <x:c r="G124" s="435"/>
      <x:c r="H124" s="436" t="s">
        <x:v>210</x:v>
      </x:c>
      <x:c r="I124" s="436"/>
      <x:c r="J124" s="450"/>
      <x:c r="K124" s="451"/>
    </x:row>
    <x:row r="125" ht="16.5">
      <x:c r="A125" s="463" t="s">
        <x:v>151</x:v>
      </x:c>
      <x:c r="B125" s="464"/>
      <x:c r="C125" s="465"/>
      <x:c r="D125" s="466" t="str">
        <x:f>D17</x:f>
        <x:v>WHSU7042278</x:v>
      </x:c>
      <x:c r="E125" s="467"/>
      <x:c r="F125" s="467"/>
      <x:c r="G125" s="468"/>
      <x:c r="H125" s="467" t="str">
        <x:f>H17</x:f>
        <x:v>WHAC079825</x:v>
      </x:c>
      <x:c r="I125" s="467"/>
      <x:c r="J125" s="467"/>
      <x:c r="K125" s="469"/>
    </x:row>
    <x:row r="126" ht="16.5">
      <x:c r="A126" s="470" t="s">
        <x:v>213</x:v>
      </x:c>
      <x:c r="B126" s="471"/>
      <x:c r="C126" s="472"/>
      <x:c r="D126" s="466"/>
      <x:c r="E126" s="467"/>
      <x:c r="F126" s="467"/>
      <x:c r="G126" s="468"/>
      <x:c r="H126" s="467"/>
      <x:c r="I126" s="467"/>
      <x:c r="J126" s="467"/>
      <x:c r="K126" s="469"/>
    </x:row>
    <x:row r="127" ht="16.5">
      <x:c r="A127" s="470" t="s">
        <x:v>214</x:v>
      </x:c>
      <x:c r="B127" s="471"/>
      <x:c r="C127" s="472"/>
      <x:c r="D127" s="466"/>
      <x:c r="E127" s="467"/>
      <x:c r="F127" s="467"/>
      <x:c r="G127" s="468"/>
      <x:c r="H127" s="467"/>
      <x:c r="I127" s="467"/>
      <x:c r="J127" s="467"/>
      <x:c r="K127" s="469"/>
    </x:row>
    <x:row r="128" ht="16.5">
      <x:c r="A128" s="473" t="s">
        <x:v>152</x:v>
      </x:c>
      <x:c r="B128" s="471"/>
      <x:c r="C128" s="472"/>
      <x:c r="D128" s="474"/>
      <x:c r="E128" s="475"/>
      <x:c r="F128" s="475"/>
      <x:c r="G128" s="476"/>
      <x:c r="H128" s="475"/>
      <x:c r="I128" s="475"/>
      <x:c r="J128" s="475"/>
      <x:c r="K128" s="477"/>
    </x:row>
    <x:row r="129" ht="18">
      <x:c r="A129" s="478" t="s">
        <x:v>153</x:v>
      </x:c>
      <x:c r="B129" s="471"/>
      <x:c r="C129" s="465"/>
      <x:c r="D129" s="447"/>
      <x:c r="E129" s="434"/>
      <x:c r="F129" s="434"/>
      <x:c r="G129" s="434"/>
      <x:c r="H129" s="479"/>
      <x:c r="I129" s="434"/>
      <x:c r="J129" s="434"/>
      <x:c r="K129" s="480"/>
    </x:row>
    <x:row r="130" ht="18" customHeight="1">
      <x:c r="A130" s="473" t="s">
        <x:v>94</x:v>
      </x:c>
      <x:c r="B130" s="481"/>
      <x:c r="C130" s="465"/>
      <x:c r="D130" s="482"/>
      <x:c r="E130" s="483"/>
      <x:c r="F130" s="483"/>
      <x:c r="G130" s="483"/>
      <x:c r="H130" s="483"/>
      <x:c r="I130" s="483"/>
      <x:c r="J130" s="483"/>
      <x:c r="K130" s="484"/>
    </x:row>
    <x:row r="131" ht="38.25">
      <x:c r="A131" s="485" t="s">
        <x:v>215</x:v>
      </x:c>
      <x:c r="B131" s="486" t="s">
        <x:v>161</x:v>
      </x:c>
      <x:c r="C131" s="487" t="s">
        <x:v>162</x:v>
      </x:c>
      <x:c r="D131" s="488" t="s">
        <x:v>163</x:v>
      </x:c>
      <x:c r="E131" s="488" t="s">
        <x:v>28</x:v>
      </x:c>
      <x:c r="F131" s="488" t="s">
        <x:v>163</x:v>
      </x:c>
      <x:c r="G131" s="486" t="s">
        <x:v>28</x:v>
      </x:c>
      <x:c r="H131" s="489" t="s">
        <x:v>216</x:v>
      </x:c>
      <x:c r="I131" s="490" t="s">
        <x:v>217</x:v>
      </x:c>
      <x:c r="J131" s="490" t="s">
        <x:v>62</x:v>
      </x:c>
      <x:c r="K131" s="491" t="s">
        <x:v>218</x:v>
      </x:c>
    </x:row>
    <x:row r="132" ht="38" customHeight="1">
      <x:c r="A132" s="492">
        <x:v>16</x:v>
      </x:c>
      <x:c r="B132" s="493"/>
      <x:c r="C132" s="494" t="e" cm="1">
        <x:f t="array" ref="C132">LOOKUP(1,0/((WHSU6439229!X:X=$D$117)*(WHSU6439229!A:A=A132)),WHSU6439229!G:G&amp;WHSU6439229!F:F)</x:f>
        <x:v>#N/A</x:v>
      </x:c>
      <x:c r="D132" s="495" t="e" cm="1">
        <x:f t="array" ref="D132">LOOKUP(1,0/((WHSU6439229!X:X=$D$117)*(WHSU6439229!A:A=A132)),WHSU6439229!K:K)</x:f>
        <x:v>#N/A</x:v>
      </x:c>
      <x:c r="E132" s="495" t="e" cm="1">
        <x:f t="array" ref="E132">LOOKUP(1,0/((WHSU6439229!X:X=$D$117)*(WHSU6439229!A:A=A132)),WHSU6439229!J:J)</x:f>
        <x:v>#N/A</x:v>
      </x:c>
      <x:c r="F132" s="495" t="e" cm="1">
        <x:f t="array" ref="F132">LOOKUP(1,0/((WHSU6439229!X:X=$D$117)*(WHSU6439229!A:A=A132)),WHSU6439229!L:L)</x:f>
        <x:v>#N/A</x:v>
      </x:c>
      <x:c r="G132" s="495" t="e" cm="1">
        <x:f t="array" ref="G132">LOOKUP(1,0/((WHSU6439229!X:X=$D$117)*(WHSU6439229!A:A=A132)),WHSU6439229!M:M)</x:f>
        <x:v>#N/A</x:v>
      </x:c>
      <x:c r="H132" s="496" t="e" cm="1">
        <x:f t="array" ref="H132">LOOKUP(1,0/((WHSU6439229!X:X=$D$117)*(WHSU6439229!A:A=A132)),WHSU6439229!P:P)</x:f>
        <x:v>#N/A</x:v>
      </x:c>
      <x:c r="I132" s="497" t="e" cm="1">
        <x:f t="array" ref="I132">LOOKUP(1,0/((WHSU6439229!X:X=$D$117)*(WHSU6439229!A:A=A132)),WHSU6439229!Q:Q)</x:f>
        <x:v>#N/A</x:v>
      </x:c>
      <x:c r="J132" s="497" t="e" cm="1">
        <x:f t="array" ref="J132">LOOKUP(1,0/((WHSU6439229!X:X=$D$117)*(WHSU6439229!A:A=A132)),WHSU6439229!AT:AT)</x:f>
        <x:v>#N/A</x:v>
      </x:c>
      <x:c r="K132" s="498" t="e" cm="1">
        <x:f t="array" ref="K132">LOOKUP(1,0/((WHSU6439229!X:X=$D$117)*(WHSU6439229!A:A=A132)),WHSU6439229!S:S)</x:f>
        <x:v>#N/A</x:v>
      </x:c>
    </x:row>
    <x:row r="133" ht="38" customHeight="1">
      <x:c r="A133" s="492">
        <x:v>17</x:v>
      </x:c>
      <x:c r="B133" s="493"/>
      <x:c r="C133" s="494" t="e" cm="1">
        <x:f t="array" ref="C133">LOOKUP(1,0/((WHSU6439229!X:X=$D$117)*(WHSU6439229!A:A=A133)),WHSU6439229!G:G&amp;WHSU6439229!F:F)</x:f>
        <x:v>#N/A</x:v>
      </x:c>
      <x:c r="D133" s="495" t="e" cm="1">
        <x:f t="array" ref="D133">LOOKUP(1,0/((WHSU6439229!X:X=$D$117)*(WHSU6439229!A:A=A133)),WHSU6439229!K:K)</x:f>
        <x:v>#N/A</x:v>
      </x:c>
      <x:c r="E133" s="495" t="e" cm="1">
        <x:f t="array" ref="E133">LOOKUP(1,0/((WHSU6439229!X:X=$D$117)*(WHSU6439229!A:A=A133)),WHSU6439229!J:J)</x:f>
        <x:v>#N/A</x:v>
      </x:c>
      <x:c r="F133" s="495" t="e" cm="1">
        <x:f t="array" ref="F133">LOOKUP(1,0/((WHSU6439229!X:X=$D$117)*(WHSU6439229!A:A=A133)),WHSU6439229!L:L)</x:f>
        <x:v>#N/A</x:v>
      </x:c>
      <x:c r="G133" s="495" t="e" cm="1">
        <x:f t="array" ref="G133">LOOKUP(1,0/((WHSU6439229!X:X=$D$117)*(WHSU6439229!A:A=A133)),WHSU6439229!M:M)</x:f>
        <x:v>#N/A</x:v>
      </x:c>
      <x:c r="H133" s="496" t="e" cm="1">
        <x:f t="array" ref="H133">LOOKUP(1,0/((WHSU6439229!X:X=$D$117)*(WHSU6439229!A:A=A133)),WHSU6439229!P:P)</x:f>
        <x:v>#N/A</x:v>
      </x:c>
      <x:c r="I133" s="497" t="e" cm="1">
        <x:f t="array" ref="I133">LOOKUP(1,0/((WHSU6439229!X:X=$D$117)*(WHSU6439229!A:A=A133)),WHSU6439229!Q:Q)</x:f>
        <x:v>#N/A</x:v>
      </x:c>
      <x:c r="J133" s="497" t="e" cm="1">
        <x:f t="array" ref="J133">LOOKUP(1,0/((WHSU6439229!X:X=$D$117)*(WHSU6439229!A:A=A133)),WHSU6439229!AT:AT)</x:f>
        <x:v>#N/A</x:v>
      </x:c>
      <x:c r="K133" s="498" t="e" cm="1">
        <x:f t="array" ref="K133">LOOKUP(1,0/((WHSU6439229!X:X=$D$117)*(WHSU6439229!A:A=A133)),WHSU6439229!S:S)</x:f>
        <x:v>#N/A</x:v>
      </x:c>
    </x:row>
    <x:row r="134" ht="38" customHeight="1">
      <x:c r="A134" s="492"/>
      <x:c r="B134" s="493"/>
      <x:c r="C134" s="494"/>
      <x:c r="D134" s="495"/>
      <x:c r="E134" s="495"/>
      <x:c r="F134" s="495"/>
      <x:c r="G134" s="495"/>
      <x:c r="H134" s="496"/>
      <x:c r="I134" s="497"/>
      <x:c r="J134" s="497"/>
      <x:c r="K134" s="498"/>
    </x:row>
    <x:row r="135" ht="38" customHeight="1">
      <x:c r="A135" s="492"/>
      <x:c r="B135" s="493"/>
      <x:c r="C135" s="494"/>
      <x:c r="D135" s="495"/>
      <x:c r="E135" s="495"/>
      <x:c r="F135" s="495"/>
      <x:c r="G135" s="495"/>
      <x:c r="H135" s="496"/>
      <x:c r="I135" s="497"/>
      <x:c r="J135" s="497"/>
      <x:c r="K135" s="498"/>
    </x:row>
    <x:row r="136" ht="38" customHeight="1">
      <x:c r="A136" s="492"/>
      <x:c r="B136" s="493"/>
      <x:c r="C136" s="494"/>
      <x:c r="D136" s="495"/>
      <x:c r="E136" s="495"/>
      <x:c r="F136" s="495"/>
      <x:c r="G136" s="495"/>
      <x:c r="H136" s="496"/>
      <x:c r="I136" s="497"/>
      <x:c r="J136" s="497"/>
      <x:c r="K136" s="498"/>
    </x:row>
    <x:row r="137" ht="38" customHeight="1">
      <x:c r="A137" s="492"/>
      <x:c r="B137" s="499"/>
      <x:c r="C137" s="494"/>
      <x:c r="D137" s="495"/>
      <x:c r="E137" s="495"/>
      <x:c r="F137" s="495"/>
      <x:c r="G137" s="495"/>
      <x:c r="H137" s="496"/>
      <x:c r="I137" s="497"/>
      <x:c r="J137" s="497"/>
      <x:c r="K137" s="498"/>
    </x:row>
    <x:row r="138" ht="18">
      <x:c r="A138" s="500"/>
      <x:c r="B138" s="501"/>
      <x:c r="C138" s="494"/>
      <x:c r="D138" s="502" t="e">
        <x:f>SUM(D132:D137)</x:f>
        <x:v>#N/A</x:v>
      </x:c>
      <x:c r="E138" s="503"/>
      <x:c r="F138" s="502"/>
      <x:c r="G138" s="502"/>
      <x:c r="H138" s="516" t="e">
        <x:f>SUM(H132:H137)</x:f>
        <x:v>#N/A</x:v>
      </x:c>
      <x:c r="I138" s="516" t="e">
        <x:f>SUM(I132:I137)</x:f>
        <x:v>#N/A</x:v>
      </x:c>
      <x:c r="J138" s="516" t="e">
        <x:f>SUM(J132:J137)</x:f>
        <x:v>#N/A</x:v>
      </x:c>
      <x:c r="K138" s="516" t="e">
        <x:f>SUM(K132:K137)</x:f>
        <x:v>#N/A</x:v>
      </x:c>
    </x:row>
    <x:row r="139" ht="18.75">
      <x:c r="A139" s="504"/>
      <x:c r="B139" s="505"/>
      <x:c r="C139" s="506"/>
      <x:c r="D139" s="507"/>
      <x:c r="E139" s="508" t="s">
        <x:v>86</x:v>
      </x:c>
      <x:c r="F139" s="508"/>
      <x:c r="G139" s="508"/>
      <x:c r="H139" s="508" t="s">
        <x:v>86</x:v>
      </x:c>
      <x:c r="I139" s="508" t="s">
        <x:v>86</x:v>
      </x:c>
      <x:c r="J139" s="508" t="s">
        <x:v>86</x:v>
      </x:c>
      <x:c r="K139" s="508" t="s">
        <x:v>86</x:v>
      </x:c>
    </x:row>
    <x:row r="140" ht="14.25"/>
    <x:row r="141" ht="25.5">
      <x:c r="A141" s="408" t="s">
        <x:v>91</x:v>
      </x:c>
      <x:c r="B141" s="409"/>
      <x:c r="C141" s="409"/>
      <x:c r="D141" s="409"/>
      <x:c r="E141" s="409"/>
      <x:c r="F141" s="409"/>
      <x:c r="G141" s="409"/>
      <x:c r="H141" s="409"/>
      <x:c r="I141" s="409"/>
      <x:c r="J141" s="409"/>
      <x:c r="K141" s="410"/>
    </x:row>
    <x:row r="142">
      <x:c r="A142" s="411" t="s">
        <x:v>219</x:v>
      </x:c>
      <x:c r="B142" s="412"/>
      <x:c r="C142" s="412"/>
      <x:c r="D142" s="412"/>
      <x:c r="E142" s="412"/>
      <x:c r="F142" s="412"/>
      <x:c r="G142" s="412"/>
      <x:c r="H142" s="412"/>
      <x:c r="I142" s="412"/>
      <x:c r="J142" s="412"/>
      <x:c r="K142" s="413"/>
    </x:row>
    <x:row r="143">
      <x:c r="A143" s="411"/>
      <x:c r="B143" s="412"/>
      <x:c r="C143" s="412"/>
      <x:c r="D143" s="412"/>
      <x:c r="E143" s="412"/>
      <x:c r="F143" s="412"/>
      <x:c r="G143" s="412"/>
      <x:c r="H143" s="412"/>
      <x:c r="I143" s="412"/>
      <x:c r="J143" s="412"/>
      <x:c r="K143" s="413"/>
    </x:row>
    <x:row r="144" ht="18">
      <x:c r="A144" s="414"/>
      <x:c r="B144" s="415"/>
      <x:c r="C144" s="415"/>
      <x:c r="D144" s="415"/>
      <x:c r="E144" s="415"/>
      <x:c r="F144" s="415"/>
      <x:c r="G144" s="415"/>
      <x:c r="H144" s="415"/>
      <x:c r="I144" s="415"/>
      <x:c r="J144" s="415"/>
      <x:c r="K144" s="416"/>
    </x:row>
    <x:row r="145" ht="18">
      <x:c r="A145" s="414"/>
      <x:c r="B145" s="415"/>
      <x:c r="C145" s="415"/>
      <x:c r="D145" s="415"/>
      <x:c r="E145" s="415"/>
      <x:c r="F145" s="415"/>
      <x:c r="G145" s="415"/>
      <x:c r="H145" s="415"/>
      <x:c r="I145" s="415"/>
      <x:c r="J145" s="415"/>
      <x:c r="K145" s="416"/>
    </x:row>
    <x:row r="146">
      <x:c r="A146" s="417" t="s">
        <x:v>197</x:v>
      </x:c>
      <x:c r="B146" s="418"/>
      <x:c r="C146" s="418"/>
      <x:c r="D146" s="418"/>
      <x:c r="E146" s="418"/>
      <x:c r="F146" s="418"/>
      <x:c r="G146" s="418"/>
      <x:c r="H146" s="418"/>
      <x:c r="I146" s="418"/>
      <x:c r="J146" s="418"/>
      <x:c r="K146" s="419"/>
    </x:row>
    <x:row r="147" ht="14.25">
      <x:c r="A147" s="417"/>
      <x:c r="B147" s="418"/>
      <x:c r="C147" s="418"/>
      <x:c r="D147" s="418"/>
      <x:c r="E147" s="418"/>
      <x:c r="F147" s="418"/>
      <x:c r="G147" s="418"/>
      <x:c r="H147" s="418"/>
      <x:c r="I147" s="418"/>
      <x:c r="J147" s="418"/>
      <x:c r="K147" s="419"/>
    </x:row>
    <x:row r="148" ht="16.5">
      <x:c r="A148" s="420" t="s">
        <x:v>198</x:v>
      </x:c>
      <x:c r="B148" s="421"/>
      <x:c r="C148" s="421"/>
      <x:c r="D148" s="422" t="s">
        <x:v>199</x:v>
      </x:c>
      <x:c r="E148" s="423"/>
      <x:c r="F148" s="423"/>
      <x:c r="G148" s="423"/>
      <x:c r="H148" s="422" t="s">
        <x:v>200</x:v>
      </x:c>
      <x:c r="I148" s="424"/>
      <x:c r="J148" s="424"/>
      <x:c r="K148" s="425"/>
    </x:row>
    <x:row r="149" ht="16" customHeight="1">
      <x:c r="A149" s="463" t="s">
        <x:v>181</x:v>
      </x:c>
      <x:c r="B149" s="464"/>
      <x:c r="C149" s="464"/>
      <x:c r="D149" s="428" t="e">
        <x:f>印尼发票!J42</x:f>
        <x:v>#NAME?</x:v>
      </x:c>
      <x:c r="E149" s="429"/>
      <x:c r="F149" s="429"/>
      <x:c r="G149" s="429"/>
      <x:c r="H149" s="430"/>
      <x:c r="I149" s="431"/>
      <x:c r="J149" s="431"/>
      <x:c r="K149" s="432"/>
    </x:row>
    <x:row r="150" ht="16" customHeight="1">
      <x:c r="A150" s="512" t="s">
        <x:v>220</x:v>
      </x:c>
      <x:c r="B150" s="513"/>
      <x:c r="C150" s="513"/>
      <x:c r="D150" s="433" t="s">
        <x:v>202</x:v>
      </x:c>
      <x:c r="E150" s="434"/>
      <x:c r="F150" s="434"/>
      <x:c r="G150" s="435"/>
      <x:c r="H150" s="436"/>
      <x:c r="I150" s="436"/>
      <x:c r="J150" s="436"/>
      <x:c r="K150" s="437"/>
    </x:row>
    <x:row r="151" ht="16" customHeight="1">
      <x:c r="A151" s="512" t="s">
        <x:v>221</x:v>
      </x:c>
      <x:c r="B151" s="513"/>
      <x:c r="C151" s="513"/>
      <x:c r="D151" s="438" t="n">
        <x:f>D11</x:f>
        <x:v>46265</x:v>
      </x:c>
      <x:c r="E151" s="439"/>
      <x:c r="F151" s="439"/>
      <x:c r="G151" s="440"/>
      <x:c r="H151" s="441"/>
      <x:c r="I151" s="442"/>
      <x:c r="J151" s="442"/>
      <x:c r="K151" s="443"/>
    </x:row>
    <x:row r="152" ht="16.5">
      <x:c r="A152" s="512" t="s">
        <x:v>222</x:v>
      </x:c>
      <x:c r="B152" s="513"/>
      <x:c r="C152" s="513"/>
      <x:c r="D152" s="447" t="s">
        <x:v>204</x:v>
      </x:c>
      <x:c r="E152" s="448"/>
      <x:c r="F152" s="448"/>
      <x:c r="G152" s="448"/>
      <x:c r="H152" s="449" t="s">
        <x:v>205</x:v>
      </x:c>
      <x:c r="I152" s="436"/>
      <x:c r="J152" s="450"/>
      <x:c r="K152" s="451"/>
    </x:row>
    <x:row r="153" ht="16.5">
      <x:c r="A153" s="512" t="s">
        <x:v>223</x:v>
      </x:c>
      <x:c r="B153" s="513"/>
      <x:c r="C153" s="513"/>
      <x:c r="D153" s="452" t="e">
        <x:f>印尼合同!H52</x:f>
        <x:v>#NAME?</x:v>
      </x:c>
      <x:c r="E153" s="452"/>
      <x:c r="F153" s="452"/>
      <x:c r="G153" s="452"/>
      <x:c r="H153" s="453"/>
      <x:c r="I153" s="453"/>
      <x:c r="J153" s="453"/>
      <x:c r="K153" s="454"/>
    </x:row>
    <x:row r="154" ht="16.5">
      <x:c r="A154" s="514" t="s">
        <x:v>224</x:v>
      </x:c>
      <x:c r="B154" s="515"/>
      <x:c r="C154" s="515"/>
      <x:c r="D154" s="457"/>
      <x:c r="E154" s="457"/>
      <x:c r="F154" s="457"/>
      <x:c r="G154" s="457"/>
      <x:c r="H154" s="453"/>
      <x:c r="I154" s="453"/>
      <x:c r="J154" s="453"/>
      <x:c r="K154" s="454"/>
    </x:row>
    <x:row r="155" ht="16.5">
      <x:c r="A155" s="458" t="s">
        <x:v>208</x:v>
      </x:c>
      <x:c r="B155" s="459"/>
      <x:c r="C155" s="460"/>
      <x:c r="D155" s="457"/>
      <x:c r="E155" s="457"/>
      <x:c r="F155" s="457"/>
      <x:c r="G155" s="457"/>
      <x:c r="H155" s="461"/>
      <x:c r="I155" s="461"/>
      <x:c r="J155" s="461"/>
      <x:c r="K155" s="462"/>
    </x:row>
    <x:row r="156" ht="16.5">
      <x:c r="A156" s="463" t="s">
        <x:v>91</x:v>
      </x:c>
      <x:c r="B156" s="464"/>
      <x:c r="C156" s="446"/>
      <x:c r="D156" s="447" t="s">
        <x:v>209</x:v>
      </x:c>
      <x:c r="E156" s="434"/>
      <x:c r="F156" s="434"/>
      <x:c r="G156" s="435"/>
      <x:c r="H156" s="436" t="s">
        <x:v>210</x:v>
      </x:c>
      <x:c r="I156" s="436"/>
      <x:c r="J156" s="450"/>
      <x:c r="K156" s="451"/>
    </x:row>
    <x:row r="157" ht="16.5">
      <x:c r="A157" s="463" t="s">
        <x:v>151</x:v>
      </x:c>
      <x:c r="B157" s="464"/>
      <x:c r="C157" s="465"/>
      <x:c r="D157" s="466" t="str">
        <x:f>D17</x:f>
        <x:v>WHSU7042278</x:v>
      </x:c>
      <x:c r="E157" s="467"/>
      <x:c r="F157" s="467"/>
      <x:c r="G157" s="468"/>
      <x:c r="H157" s="467" t="str">
        <x:f>H17</x:f>
        <x:v>WHAC079825</x:v>
      </x:c>
      <x:c r="I157" s="467"/>
      <x:c r="J157" s="467"/>
      <x:c r="K157" s="469"/>
    </x:row>
    <x:row r="158" ht="16.5">
      <x:c r="A158" s="470" t="s">
        <x:v>213</x:v>
      </x:c>
      <x:c r="B158" s="471"/>
      <x:c r="C158" s="472"/>
      <x:c r="D158" s="466"/>
      <x:c r="E158" s="467"/>
      <x:c r="F158" s="467"/>
      <x:c r="G158" s="468"/>
      <x:c r="H158" s="467"/>
      <x:c r="I158" s="467"/>
      <x:c r="J158" s="467"/>
      <x:c r="K158" s="469"/>
    </x:row>
    <x:row r="159" ht="16.5">
      <x:c r="A159" s="470" t="s">
        <x:v>214</x:v>
      </x:c>
      <x:c r="B159" s="471"/>
      <x:c r="C159" s="472"/>
      <x:c r="D159" s="466"/>
      <x:c r="E159" s="467"/>
      <x:c r="F159" s="467"/>
      <x:c r="G159" s="468"/>
      <x:c r="H159" s="467"/>
      <x:c r="I159" s="467"/>
      <x:c r="J159" s="467"/>
      <x:c r="K159" s="469"/>
    </x:row>
    <x:row r="160" ht="16.5">
      <x:c r="A160" s="473" t="s">
        <x:v>152</x:v>
      </x:c>
      <x:c r="B160" s="471"/>
      <x:c r="C160" s="472"/>
      <x:c r="D160" s="474"/>
      <x:c r="E160" s="475"/>
      <x:c r="F160" s="475"/>
      <x:c r="G160" s="476"/>
      <x:c r="H160" s="475"/>
      <x:c r="I160" s="475"/>
      <x:c r="J160" s="475"/>
      <x:c r="K160" s="477"/>
    </x:row>
    <x:row r="161" ht="18">
      <x:c r="A161" s="478" t="s">
        <x:v>153</x:v>
      </x:c>
      <x:c r="B161" s="471"/>
      <x:c r="C161" s="465"/>
      <x:c r="D161" s="447"/>
      <x:c r="E161" s="434"/>
      <x:c r="F161" s="434"/>
      <x:c r="G161" s="434"/>
      <x:c r="H161" s="479"/>
      <x:c r="I161" s="434"/>
      <x:c r="J161" s="434"/>
      <x:c r="K161" s="480"/>
    </x:row>
    <x:row r="162" ht="18" customHeight="1">
      <x:c r="A162" s="473" t="s">
        <x:v>94</x:v>
      </x:c>
      <x:c r="B162" s="481"/>
      <x:c r="C162" s="465"/>
      <x:c r="D162" s="482"/>
      <x:c r="E162" s="483"/>
      <x:c r="F162" s="483"/>
      <x:c r="G162" s="483"/>
      <x:c r="H162" s="483"/>
      <x:c r="I162" s="483"/>
      <x:c r="J162" s="483"/>
      <x:c r="K162" s="484"/>
    </x:row>
    <x:row r="163" ht="38.25">
      <x:c r="A163" s="485" t="s">
        <x:v>215</x:v>
      </x:c>
      <x:c r="B163" s="486" t="s">
        <x:v>161</x:v>
      </x:c>
      <x:c r="C163" s="487" t="s">
        <x:v>162</x:v>
      </x:c>
      <x:c r="D163" s="488" t="s">
        <x:v>163</x:v>
      </x:c>
      <x:c r="E163" s="488" t="s">
        <x:v>28</x:v>
      </x:c>
      <x:c r="F163" s="488" t="s">
        <x:v>163</x:v>
      </x:c>
      <x:c r="G163" s="486" t="s">
        <x:v>28</x:v>
      </x:c>
      <x:c r="H163" s="489" t="s">
        <x:v>216</x:v>
      </x:c>
      <x:c r="I163" s="490" t="s">
        <x:v>217</x:v>
      </x:c>
      <x:c r="J163" s="490" t="s">
        <x:v>62</x:v>
      </x:c>
      <x:c r="K163" s="491" t="s">
        <x:v>218</x:v>
      </x:c>
    </x:row>
    <x:row r="164" ht="38" customHeight="1">
      <x:c r="A164" s="492">
        <x:v>18</x:v>
      </x:c>
      <x:c r="B164" s="493"/>
      <x:c r="C164" s="494" t="e" cm="1">
        <x:f t="array" ref="C164">LOOKUP(1,0/((WHSU6439229!X:X=$D$149)*(WHSU6439229!A:A=A164)),WHSU6439229!G:G&amp;WHSU6439229!F:F)</x:f>
        <x:v>#N/A</x:v>
      </x:c>
      <x:c r="D164" s="495" t="e" cm="1">
        <x:f t="array" ref="D164">LOOKUP(1,0/((WHSU6439229!X:X=$D$149)*(WHSU6439229!A:A=A164)),WHSU6439229!K:K)</x:f>
        <x:v>#N/A</x:v>
      </x:c>
      <x:c r="E164" s="495" t="e" cm="1">
        <x:f t="array" ref="E164">LOOKUP(1,0/((WHSU6439229!X:X=$D$149)*(WHSU6439229!A:A=A164)),WHSU6439229!J:J)</x:f>
        <x:v>#N/A</x:v>
      </x:c>
      <x:c r="F164" s="495" t="e" cm="1">
        <x:f t="array" ref="F164">LOOKUP(1,0/((WHSU6439229!X:X=$D$149)*(WHSU6439229!A:A=A164)),WHSU6439229!L:L)</x:f>
        <x:v>#N/A</x:v>
      </x:c>
      <x:c r="G164" s="495" t="e" cm="1">
        <x:f t="array" ref="G164">LOOKUP(1,0/((WHSU6439229!X:X=$D$149)*(WHSU6439229!A:A=A164)),WHSU6439229!M:M)</x:f>
        <x:v>#N/A</x:v>
      </x:c>
      <x:c r="H164" s="496" t="e" cm="1">
        <x:f t="array" ref="H164">LOOKUP(1,0/((WHSU6439229!X:X=$D$149)*(WHSU6439229!A:A=A164)),WHSU6439229!P:P)</x:f>
        <x:v>#N/A</x:v>
      </x:c>
      <x:c r="I164" s="497" t="e" cm="1">
        <x:f t="array" ref="I164">LOOKUP(1,0/((WHSU6439229!X:X=$D$149)*(WHSU6439229!A:A=A164)),WHSU6439229!Q:Q)</x:f>
        <x:v>#N/A</x:v>
      </x:c>
      <x:c r="J164" s="497" t="e" cm="1">
        <x:f t="array" ref="J164">LOOKUP(1,0/((WHSU6439229!X:X=$D$149)*(WHSU6439229!A:A=A164)),WHSU6439229!AT:AT)</x:f>
        <x:v>#N/A</x:v>
      </x:c>
      <x:c r="K164" s="498" t="e" cm="1">
        <x:f t="array" ref="K164">LOOKUP(1,0/((WHSU6439229!X:X=$D$149)*(WHSU6439229!A:A=A164)),WHSU6439229!S:S)</x:f>
        <x:v>#N/A</x:v>
      </x:c>
    </x:row>
    <x:row r="165" ht="38" customHeight="1">
      <x:c r="A165" s="492">
        <x:v>19</x:v>
      </x:c>
      <x:c r="B165" s="493"/>
      <x:c r="C165" s="494" t="e" cm="1">
        <x:f t="array" ref="C165">LOOKUP(1,0/((WHSU6439229!X:X=$D$149)*(WHSU6439229!A:A=A165)),WHSU6439229!G:G&amp;WHSU6439229!F:F)</x:f>
        <x:v>#N/A</x:v>
      </x:c>
      <x:c r="D165" s="495" t="e" cm="1">
        <x:f t="array" ref="D165">LOOKUP(1,0/((WHSU6439229!X:X=$D$149)*(WHSU6439229!A:A=A165)),WHSU6439229!K:K)</x:f>
        <x:v>#N/A</x:v>
      </x:c>
      <x:c r="E165" s="495" t="e" cm="1">
        <x:f t="array" ref="E165">LOOKUP(1,0/((WHSU6439229!X:X=$D$149)*(WHSU6439229!A:A=A165)),WHSU6439229!J:J)</x:f>
        <x:v>#N/A</x:v>
      </x:c>
      <x:c r="F165" s="495" t="e" cm="1">
        <x:f t="array" ref="F165">LOOKUP(1,0/((WHSU6439229!X:X=$D$149)*(WHSU6439229!A:A=A165)),WHSU6439229!L:L)</x:f>
        <x:v>#N/A</x:v>
      </x:c>
      <x:c r="G165" s="495" t="e" cm="1">
        <x:f t="array" ref="G165">LOOKUP(1,0/((WHSU6439229!X:X=$D$149)*(WHSU6439229!A:A=A165)),WHSU6439229!M:M)</x:f>
        <x:v>#N/A</x:v>
      </x:c>
      <x:c r="H165" s="496" t="e" cm="1">
        <x:f t="array" ref="H165">LOOKUP(1,0/((WHSU6439229!X:X=$D$149)*(WHSU6439229!A:A=A165)),WHSU6439229!P:P)</x:f>
        <x:v>#N/A</x:v>
      </x:c>
      <x:c r="I165" s="497" t="e" cm="1">
        <x:f t="array" ref="I165">LOOKUP(1,0/((WHSU6439229!X:X=$D$149)*(WHSU6439229!A:A=A165)),WHSU6439229!Q:Q)</x:f>
        <x:v>#N/A</x:v>
      </x:c>
      <x:c r="J165" s="497" t="e" cm="1">
        <x:f t="array" ref="J165">LOOKUP(1,0/((WHSU6439229!X:X=$D$149)*(WHSU6439229!A:A=A165)),WHSU6439229!AT:AT)</x:f>
        <x:v>#N/A</x:v>
      </x:c>
      <x:c r="K165" s="498" t="e" cm="1">
        <x:f t="array" ref="K165">LOOKUP(1,0/((WHSU6439229!X:X=$D$149)*(WHSU6439229!A:A=A165)),WHSU6439229!S:S)</x:f>
        <x:v>#N/A</x:v>
      </x:c>
    </x:row>
    <x:row r="166" ht="38" customHeight="1">
      <x:c r="A166" s="492">
        <x:v>20</x:v>
      </x:c>
      <x:c r="B166" s="493"/>
      <x:c r="C166" s="494" t="e" cm="1">
        <x:f t="array" ref="C166">LOOKUP(1,0/((WHSU6439229!X:X=$D$149)*(WHSU6439229!A:A=A166)),WHSU6439229!G:G&amp;WHSU6439229!F:F)</x:f>
        <x:v>#N/A</x:v>
      </x:c>
      <x:c r="D166" s="495" t="e" cm="1">
        <x:f t="array" ref="D166">LOOKUP(1,0/((WHSU6439229!X:X=$D$149)*(WHSU6439229!A:A=A166)),WHSU6439229!K:K)</x:f>
        <x:v>#N/A</x:v>
      </x:c>
      <x:c r="E166" s="495" t="e" cm="1">
        <x:f t="array" ref="E166">LOOKUP(1,0/((WHSU6439229!X:X=$D$149)*(WHSU6439229!A:A=A166)),WHSU6439229!J:J)</x:f>
        <x:v>#N/A</x:v>
      </x:c>
      <x:c r="F166" s="495" t="e" cm="1">
        <x:f t="array" ref="F166">LOOKUP(1,0/((WHSU6439229!X:X=$D$149)*(WHSU6439229!A:A=A166)),WHSU6439229!L:L)</x:f>
        <x:v>#N/A</x:v>
      </x:c>
      <x:c r="G166" s="495" t="e" cm="1">
        <x:f t="array" ref="G166">LOOKUP(1,0/((WHSU6439229!X:X=$D$149)*(WHSU6439229!A:A=A166)),WHSU6439229!M:M)</x:f>
        <x:v>#N/A</x:v>
      </x:c>
      <x:c r="H166" s="496" t="e" cm="1">
        <x:f t="array" ref="H166">LOOKUP(1,0/((WHSU6439229!X:X=$D$149)*(WHSU6439229!A:A=A166)),WHSU6439229!P:P)</x:f>
        <x:v>#N/A</x:v>
      </x:c>
      <x:c r="I166" s="497" t="e" cm="1">
        <x:f t="array" ref="I166">LOOKUP(1,0/((WHSU6439229!X:X=$D$149)*(WHSU6439229!A:A=A166)),WHSU6439229!Q:Q)</x:f>
        <x:v>#N/A</x:v>
      </x:c>
      <x:c r="J166" s="497" t="e" cm="1">
        <x:f t="array" ref="J166">LOOKUP(1,0/((WHSU6439229!X:X=$D$149)*(WHSU6439229!A:A=A166)),WHSU6439229!AT:AT)</x:f>
        <x:v>#N/A</x:v>
      </x:c>
      <x:c r="K166" s="498" t="e" cm="1">
        <x:f t="array" ref="K166">LOOKUP(1,0/((WHSU6439229!X:X=$D$149)*(WHSU6439229!A:A=A166)),WHSU6439229!S:S)</x:f>
        <x:v>#N/A</x:v>
      </x:c>
    </x:row>
    <x:row r="167" ht="38" customHeight="1">
      <x:c r="A167" s="492">
        <x:v>21</x:v>
      </x:c>
      <x:c r="B167" s="493"/>
      <x:c r="C167" s="494" t="e" cm="1">
        <x:f t="array" ref="C167">LOOKUP(1,0/((WHSU6439229!X:X=$D$149)*(WHSU6439229!A:A=A167)),WHSU6439229!G:G&amp;WHSU6439229!F:F)</x:f>
        <x:v>#N/A</x:v>
      </x:c>
      <x:c r="D167" s="495" t="e" cm="1">
        <x:f t="array" ref="D167">LOOKUP(1,0/((WHSU6439229!X:X=$D$149)*(WHSU6439229!A:A=A167)),WHSU6439229!K:K)</x:f>
        <x:v>#N/A</x:v>
      </x:c>
      <x:c r="E167" s="495" t="e" cm="1">
        <x:f t="array" ref="E167">LOOKUP(1,0/((WHSU6439229!X:X=$D$149)*(WHSU6439229!A:A=A167)),WHSU6439229!J:J)</x:f>
        <x:v>#N/A</x:v>
      </x:c>
      <x:c r="F167" s="495" t="e" cm="1">
        <x:f t="array" ref="F167">LOOKUP(1,0/((WHSU6439229!X:X=$D$149)*(WHSU6439229!A:A=A167)),WHSU6439229!L:L)</x:f>
        <x:v>#N/A</x:v>
      </x:c>
      <x:c r="G167" s="495" t="e" cm="1">
        <x:f t="array" ref="G167">LOOKUP(1,0/((WHSU6439229!X:X=$D$149)*(WHSU6439229!A:A=A167)),WHSU6439229!M:M)</x:f>
        <x:v>#N/A</x:v>
      </x:c>
      <x:c r="H167" s="496" t="e" cm="1">
        <x:f t="array" ref="H167">LOOKUP(1,0/((WHSU6439229!X:X=$D$149)*(WHSU6439229!A:A=A167)),WHSU6439229!P:P)</x:f>
        <x:v>#N/A</x:v>
      </x:c>
      <x:c r="I167" s="497" t="e" cm="1">
        <x:f t="array" ref="I167">LOOKUP(1,0/((WHSU6439229!X:X=$D$149)*(WHSU6439229!A:A=A167)),WHSU6439229!Q:Q)</x:f>
        <x:v>#N/A</x:v>
      </x:c>
      <x:c r="J167" s="497" t="e" cm="1">
        <x:f t="array" ref="J167">LOOKUP(1,0/((WHSU6439229!X:X=$D$149)*(WHSU6439229!A:A=A167)),WHSU6439229!AT:AT)</x:f>
        <x:v>#N/A</x:v>
      </x:c>
      <x:c r="K167" s="498" t="e" cm="1">
        <x:f t="array" ref="K167">LOOKUP(1,0/((WHSU6439229!X:X=$D$149)*(WHSU6439229!A:A=A167)),WHSU6439229!S:S)</x:f>
        <x:v>#N/A</x:v>
      </x:c>
    </x:row>
    <x:row r="168" ht="38" customHeight="1">
      <x:c r="A168" s="492">
        <x:v>22</x:v>
      </x:c>
      <x:c r="B168" s="493"/>
      <x:c r="C168" s="494" t="e" cm="1">
        <x:f t="array" ref="C168">LOOKUP(1,0/((WHSU6439229!X:X=$D$149)*(WHSU6439229!A:A=A168)),WHSU6439229!G:G&amp;WHSU6439229!F:F)</x:f>
        <x:v>#N/A</x:v>
      </x:c>
      <x:c r="D168" s="495" t="e" cm="1">
        <x:f t="array" ref="D168">LOOKUP(1,0/((WHSU6439229!X:X=$D$149)*(WHSU6439229!A:A=A168)),WHSU6439229!K:K)</x:f>
        <x:v>#N/A</x:v>
      </x:c>
      <x:c r="E168" s="495" t="e" cm="1">
        <x:f t="array" ref="E168">LOOKUP(1,0/((WHSU6439229!X:X=$D$149)*(WHSU6439229!A:A=A168)),WHSU6439229!J:J)</x:f>
        <x:v>#N/A</x:v>
      </x:c>
      <x:c r="F168" s="495" t="e" cm="1">
        <x:f t="array" ref="F168">LOOKUP(1,0/((WHSU6439229!X:X=$D$149)*(WHSU6439229!A:A=A168)),WHSU6439229!L:L)</x:f>
        <x:v>#N/A</x:v>
      </x:c>
      <x:c r="G168" s="495" t="e" cm="1">
        <x:f t="array" ref="G168">LOOKUP(1,0/((WHSU6439229!X:X=$D$149)*(WHSU6439229!A:A=A168)),WHSU6439229!M:M)</x:f>
        <x:v>#N/A</x:v>
      </x:c>
      <x:c r="H168" s="496" t="e" cm="1">
        <x:f t="array" ref="H168">LOOKUP(1,0/((WHSU6439229!X:X=$D$149)*(WHSU6439229!A:A=A168)),WHSU6439229!P:P)</x:f>
        <x:v>#N/A</x:v>
      </x:c>
      <x:c r="I168" s="497" t="e" cm="1">
        <x:f t="array" ref="I168">LOOKUP(1,0/((WHSU6439229!X:X=$D$149)*(WHSU6439229!A:A=A168)),WHSU6439229!Q:Q)</x:f>
        <x:v>#N/A</x:v>
      </x:c>
      <x:c r="J168" s="497" t="e" cm="1">
        <x:f t="array" ref="J168">LOOKUP(1,0/((WHSU6439229!X:X=$D$149)*(WHSU6439229!A:A=A168)),WHSU6439229!AT:AT)</x:f>
        <x:v>#N/A</x:v>
      </x:c>
      <x:c r="K168" s="498" t="e" cm="1">
        <x:f t="array" ref="K168">LOOKUP(1,0/((WHSU6439229!X:X=$D$149)*(WHSU6439229!A:A=A168)),WHSU6439229!S:S)</x:f>
        <x:v>#N/A</x:v>
      </x:c>
    </x:row>
    <x:row r="169" ht="38" customHeight="1">
      <x:c r="A169" s="492">
        <x:v>23</x:v>
      </x:c>
      <x:c r="B169" s="493"/>
      <x:c r="C169" s="494" t="e" cm="1">
        <x:f t="array" ref="C169">LOOKUP(1,0/((WHSU6439229!X:X=$D$149)*(WHSU6439229!A:A=A169)),WHSU6439229!G:G&amp;WHSU6439229!F:F)</x:f>
        <x:v>#N/A</x:v>
      </x:c>
      <x:c r="D169" s="495" t="e" cm="1">
        <x:f t="array" ref="D169">LOOKUP(1,0/((WHSU6439229!X:X=$D$149)*(WHSU6439229!A:A=A169)),WHSU6439229!K:K)</x:f>
        <x:v>#N/A</x:v>
      </x:c>
      <x:c r="E169" s="495" t="e" cm="1">
        <x:f t="array" ref="E169">LOOKUP(1,0/((WHSU6439229!X:X=$D$149)*(WHSU6439229!A:A=A169)),WHSU6439229!J:J)</x:f>
        <x:v>#N/A</x:v>
      </x:c>
      <x:c r="F169" s="495" t="e" cm="1">
        <x:f t="array" ref="F169">LOOKUP(1,0/((WHSU6439229!X:X=$D$149)*(WHSU6439229!A:A=A169)),WHSU6439229!L:L)</x:f>
        <x:v>#N/A</x:v>
      </x:c>
      <x:c r="G169" s="495" t="e" cm="1">
        <x:f t="array" ref="G169">LOOKUP(1,0/((WHSU6439229!X:X=$D$149)*(WHSU6439229!A:A=A169)),WHSU6439229!M:M)</x:f>
        <x:v>#N/A</x:v>
      </x:c>
      <x:c r="H169" s="496" t="e" cm="1">
        <x:f t="array" ref="H169">LOOKUP(1,0/((WHSU6439229!X:X=$D$149)*(WHSU6439229!A:A=A169)),WHSU6439229!P:P)</x:f>
        <x:v>#N/A</x:v>
      </x:c>
      <x:c r="I169" s="497" t="e" cm="1">
        <x:f t="array" ref="I169">LOOKUP(1,0/((WHSU6439229!X:X=$D$149)*(WHSU6439229!A:A=A169)),WHSU6439229!Q:Q)</x:f>
        <x:v>#N/A</x:v>
      </x:c>
      <x:c r="J169" s="497" t="e" cm="1">
        <x:f t="array" ref="J169">LOOKUP(1,0/((WHSU6439229!X:X=$D$149)*(WHSU6439229!A:A=A169)),WHSU6439229!AT:AT)</x:f>
        <x:v>#N/A</x:v>
      </x:c>
      <x:c r="K169" s="498" t="e" cm="1">
        <x:f t="array" ref="K169">LOOKUP(1,0/((WHSU6439229!X:X=$D$149)*(WHSU6439229!A:A=A169)),WHSU6439229!S:S)</x:f>
        <x:v>#N/A</x:v>
      </x:c>
    </x:row>
    <x:row r="170" ht="38" customHeight="1">
      <x:c r="A170" s="492">
        <x:v>24</x:v>
      </x:c>
      <x:c r="B170" s="493"/>
      <x:c r="C170" s="494" t="e" cm="1">
        <x:f t="array" ref="C170">LOOKUP(1,0/((WHSU6439229!X:X=$D$149)*(WHSU6439229!A:A=A170)),WHSU6439229!G:G&amp;WHSU6439229!F:F)</x:f>
        <x:v>#N/A</x:v>
      </x:c>
      <x:c r="D170" s="495" t="e" cm="1">
        <x:f t="array" ref="D170">LOOKUP(1,0/((WHSU6439229!X:X=$D$149)*(WHSU6439229!A:A=A170)),WHSU6439229!K:K)</x:f>
        <x:v>#N/A</x:v>
      </x:c>
      <x:c r="E170" s="495" t="e" cm="1">
        <x:f t="array" ref="E170">LOOKUP(1,0/((WHSU6439229!X:X=$D$149)*(WHSU6439229!A:A=A170)),WHSU6439229!J:J)</x:f>
        <x:v>#N/A</x:v>
      </x:c>
      <x:c r="F170" s="495" t="e" cm="1">
        <x:f t="array" ref="F170">LOOKUP(1,0/((WHSU6439229!X:X=$D$149)*(WHSU6439229!A:A=A170)),WHSU6439229!L:L)</x:f>
        <x:v>#N/A</x:v>
      </x:c>
      <x:c r="G170" s="495" t="e" cm="1">
        <x:f t="array" ref="G170">LOOKUP(1,0/((WHSU6439229!X:X=$D$149)*(WHSU6439229!A:A=A170)),WHSU6439229!M:M)</x:f>
        <x:v>#N/A</x:v>
      </x:c>
      <x:c r="H170" s="496" t="e" cm="1">
        <x:f t="array" ref="H170">LOOKUP(1,0/((WHSU6439229!X:X=$D$149)*(WHSU6439229!A:A=A170)),WHSU6439229!P:P)</x:f>
        <x:v>#N/A</x:v>
      </x:c>
      <x:c r="I170" s="497" t="e" cm="1">
        <x:f t="array" ref="I170">LOOKUP(1,0/((WHSU6439229!X:X=$D$149)*(WHSU6439229!A:A=A170)),WHSU6439229!Q:Q)</x:f>
        <x:v>#N/A</x:v>
      </x:c>
      <x:c r="J170" s="497" t="e" cm="1">
        <x:f t="array" ref="J170">LOOKUP(1,0/((WHSU6439229!X:X=$D$149)*(WHSU6439229!A:A=A170)),WHSU6439229!AT:AT)</x:f>
        <x:v>#N/A</x:v>
      </x:c>
      <x:c r="K170" s="498" t="e" cm="1">
        <x:f t="array" ref="K170">LOOKUP(1,0/((WHSU6439229!X:X=$D$149)*(WHSU6439229!A:A=A170)),WHSU6439229!S:S)</x:f>
        <x:v>#N/A</x:v>
      </x:c>
    </x:row>
    <x:row r="171" ht="38" customHeight="1">
      <x:c r="A171" s="492">
        <x:v>25</x:v>
      </x:c>
      <x:c r="B171" s="493"/>
      <x:c r="C171" s="494" t="e" cm="1">
        <x:f t="array" ref="C171">LOOKUP(1,0/((WHSU6439229!X:X=$D$149)*(WHSU6439229!A:A=A171)),WHSU6439229!G:G&amp;WHSU6439229!F:F)</x:f>
        <x:v>#N/A</x:v>
      </x:c>
      <x:c r="D171" s="495" t="e" cm="1">
        <x:f t="array" ref="D171">LOOKUP(1,0/((WHSU6439229!X:X=$D$149)*(WHSU6439229!A:A=A171)),WHSU6439229!K:K)</x:f>
        <x:v>#N/A</x:v>
      </x:c>
      <x:c r="E171" s="495" t="e" cm="1">
        <x:f t="array" ref="E171">LOOKUP(1,0/((WHSU6439229!X:X=$D$149)*(WHSU6439229!A:A=A171)),WHSU6439229!J:J)</x:f>
        <x:v>#N/A</x:v>
      </x:c>
      <x:c r="F171" s="495" t="e" cm="1">
        <x:f t="array" ref="F171">LOOKUP(1,0/((WHSU6439229!X:X=$D$149)*(WHSU6439229!A:A=A171)),WHSU6439229!L:L)</x:f>
        <x:v>#N/A</x:v>
      </x:c>
      <x:c r="G171" s="495" t="e" cm="1">
        <x:f t="array" ref="G171">LOOKUP(1,0/((WHSU6439229!X:X=$D$149)*(WHSU6439229!A:A=A171)),WHSU6439229!M:M)</x:f>
        <x:v>#N/A</x:v>
      </x:c>
      <x:c r="H171" s="496" t="e" cm="1">
        <x:f t="array" ref="H171">LOOKUP(1,0/((WHSU6439229!X:X=$D$149)*(WHSU6439229!A:A=A171)),WHSU6439229!P:P)</x:f>
        <x:v>#N/A</x:v>
      </x:c>
      <x:c r="I171" s="497" t="e" cm="1">
        <x:f t="array" ref="I171">LOOKUP(1,0/((WHSU6439229!X:X=$D$149)*(WHSU6439229!A:A=A171)),WHSU6439229!Q:Q)</x:f>
        <x:v>#N/A</x:v>
      </x:c>
      <x:c r="J171" s="497" t="e" cm="1">
        <x:f t="array" ref="J171">LOOKUP(1,0/((WHSU6439229!X:X=$D$149)*(WHSU6439229!A:A=A171)),WHSU6439229!AT:AT)</x:f>
        <x:v>#N/A</x:v>
      </x:c>
      <x:c r="K171" s="498" t="e" cm="1">
        <x:f t="array" ref="K171">LOOKUP(1,0/((WHSU6439229!X:X=$D$149)*(WHSU6439229!A:A=A171)),WHSU6439229!S:S)</x:f>
        <x:v>#N/A</x:v>
      </x:c>
    </x:row>
    <x:row r="172" ht="38" customHeight="1">
      <x:c r="A172" s="492">
        <x:v>26</x:v>
      </x:c>
      <x:c r="B172" s="493"/>
      <x:c r="C172" s="494" t="e" cm="1">
        <x:f t="array" ref="C172">LOOKUP(1,0/((WHSU6439229!X:X=$D$149)*(WHSU6439229!A:A=A172)),WHSU6439229!G:G&amp;WHSU6439229!F:F)</x:f>
        <x:v>#N/A</x:v>
      </x:c>
      <x:c r="D172" s="495" t="e" cm="1">
        <x:f t="array" ref="D172">LOOKUP(1,0/((WHSU6439229!X:X=$D$149)*(WHSU6439229!A:A=A172)),WHSU6439229!K:K)</x:f>
        <x:v>#N/A</x:v>
      </x:c>
      <x:c r="E172" s="495" t="e" cm="1">
        <x:f t="array" ref="E172">LOOKUP(1,0/((WHSU6439229!X:X=$D$149)*(WHSU6439229!A:A=A172)),WHSU6439229!J:J)</x:f>
        <x:v>#N/A</x:v>
      </x:c>
      <x:c r="F172" s="495" t="e" cm="1">
        <x:f t="array" ref="F172">LOOKUP(1,0/((WHSU6439229!X:X=$D$149)*(WHSU6439229!A:A=A172)),WHSU6439229!L:L)</x:f>
        <x:v>#N/A</x:v>
      </x:c>
      <x:c r="G172" s="495" t="e" cm="1">
        <x:f t="array" ref="G172">LOOKUP(1,0/((WHSU6439229!X:X=$D$149)*(WHSU6439229!A:A=A172)),WHSU6439229!M:M)</x:f>
        <x:v>#N/A</x:v>
      </x:c>
      <x:c r="H172" s="496" t="e" cm="1">
        <x:f t="array" ref="H172">LOOKUP(1,0/((WHSU6439229!X:X=$D$149)*(WHSU6439229!A:A=A172)),WHSU6439229!P:P)</x:f>
        <x:v>#N/A</x:v>
      </x:c>
      <x:c r="I172" s="497" t="e" cm="1">
        <x:f t="array" ref="I172">LOOKUP(1,0/((WHSU6439229!X:X=$D$149)*(WHSU6439229!A:A=A172)),WHSU6439229!Q:Q)</x:f>
        <x:v>#N/A</x:v>
      </x:c>
      <x:c r="J172" s="497" t="e" cm="1">
        <x:f t="array" ref="J172">LOOKUP(1,0/((WHSU6439229!X:X=$D$149)*(WHSU6439229!A:A=A172)),WHSU6439229!AT:AT)</x:f>
        <x:v>#N/A</x:v>
      </x:c>
      <x:c r="K172" s="498" t="e" cm="1">
        <x:f t="array" ref="K172">LOOKUP(1,0/((WHSU6439229!X:X=$D$149)*(WHSU6439229!A:A=A172)),WHSU6439229!S:S)</x:f>
        <x:v>#N/A</x:v>
      </x:c>
    </x:row>
    <x:row r="173" ht="38" customHeight="1">
      <x:c r="A173" s="492">
        <x:v>27</x:v>
      </x:c>
      <x:c r="B173" s="493"/>
      <x:c r="C173" s="494" t="e" cm="1">
        <x:f t="array" ref="C173">LOOKUP(1,0/((WHSU6439229!X:X=$D$149)*(WHSU6439229!A:A=A173)),WHSU6439229!G:G&amp;WHSU6439229!F:F)</x:f>
        <x:v>#N/A</x:v>
      </x:c>
      <x:c r="D173" s="495" t="e" cm="1">
        <x:f t="array" ref="D173">LOOKUP(1,0/((WHSU6439229!X:X=$D$149)*(WHSU6439229!A:A=A173)),WHSU6439229!K:K)</x:f>
        <x:v>#N/A</x:v>
      </x:c>
      <x:c r="E173" s="495" t="e" cm="1">
        <x:f t="array" ref="E173">LOOKUP(1,0/((WHSU6439229!X:X=$D$149)*(WHSU6439229!A:A=A173)),WHSU6439229!J:J)</x:f>
        <x:v>#N/A</x:v>
      </x:c>
      <x:c r="F173" s="495" t="e" cm="1">
        <x:f t="array" ref="F173">LOOKUP(1,0/((WHSU6439229!X:X=$D$149)*(WHSU6439229!A:A=A173)),WHSU6439229!L:L)</x:f>
        <x:v>#N/A</x:v>
      </x:c>
      <x:c r="G173" s="495" t="e" cm="1">
        <x:f t="array" ref="G173">LOOKUP(1,0/((WHSU6439229!X:X=$D$149)*(WHSU6439229!A:A=A173)),WHSU6439229!M:M)</x:f>
        <x:v>#N/A</x:v>
      </x:c>
      <x:c r="H173" s="496" t="e" cm="1">
        <x:f t="array" ref="H173">LOOKUP(1,0/((WHSU6439229!X:X=$D$149)*(WHSU6439229!A:A=A173)),WHSU6439229!P:P)</x:f>
        <x:v>#N/A</x:v>
      </x:c>
      <x:c r="I173" s="497" t="e" cm="1">
        <x:f t="array" ref="I173">LOOKUP(1,0/((WHSU6439229!X:X=$D$149)*(WHSU6439229!A:A=A173)),WHSU6439229!Q:Q)</x:f>
        <x:v>#N/A</x:v>
      </x:c>
      <x:c r="J173" s="497" t="e" cm="1">
        <x:f t="array" ref="J173">LOOKUP(1,0/((WHSU6439229!X:X=$D$149)*(WHSU6439229!A:A=A173)),WHSU6439229!AT:AT)</x:f>
        <x:v>#N/A</x:v>
      </x:c>
      <x:c r="K173" s="498" t="e" cm="1">
        <x:f t="array" ref="K173">LOOKUP(1,0/((WHSU6439229!X:X=$D$149)*(WHSU6439229!A:A=A173)),WHSU6439229!S:S)</x:f>
        <x:v>#N/A</x:v>
      </x:c>
    </x:row>
    <x:row r="174" ht="38" customHeight="1">
      <x:c r="A174" s="492">
        <x:v>28</x:v>
      </x:c>
      <x:c r="B174" s="493"/>
      <x:c r="C174" s="494" t="e" cm="1">
        <x:f t="array" ref="C174">LOOKUP(1,0/((WHSU6439229!X:X=$D$149)*(WHSU6439229!A:A=A174)),WHSU6439229!G:G&amp;WHSU6439229!F:F)</x:f>
        <x:v>#N/A</x:v>
      </x:c>
      <x:c r="D174" s="495" t="e" cm="1">
        <x:f t="array" ref="D174">LOOKUP(1,0/((WHSU6439229!X:X=$D$149)*(WHSU6439229!A:A=A174)),WHSU6439229!K:K)</x:f>
        <x:v>#N/A</x:v>
      </x:c>
      <x:c r="E174" s="495" t="e" cm="1">
        <x:f t="array" ref="E174">LOOKUP(1,0/((WHSU6439229!X:X=$D$149)*(WHSU6439229!A:A=A174)),WHSU6439229!J:J)</x:f>
        <x:v>#N/A</x:v>
      </x:c>
      <x:c r="F174" s="495" t="e" cm="1">
        <x:f t="array" ref="F174">LOOKUP(1,0/((WHSU6439229!X:X=$D$149)*(WHSU6439229!A:A=A174)),WHSU6439229!L:L)</x:f>
        <x:v>#N/A</x:v>
      </x:c>
      <x:c r="G174" s="495" t="e" cm="1">
        <x:f t="array" ref="G174">LOOKUP(1,0/((WHSU6439229!X:X=$D$149)*(WHSU6439229!A:A=A174)),WHSU6439229!M:M)</x:f>
        <x:v>#N/A</x:v>
      </x:c>
      <x:c r="H174" s="496" t="e" cm="1">
        <x:f t="array" ref="H174">LOOKUP(1,0/((WHSU6439229!X:X=$D$149)*(WHSU6439229!A:A=A174)),WHSU6439229!P:P)</x:f>
        <x:v>#N/A</x:v>
      </x:c>
      <x:c r="I174" s="497" t="e" cm="1">
        <x:f t="array" ref="I174">LOOKUP(1,0/((WHSU6439229!X:X=$D$149)*(WHSU6439229!A:A=A174)),WHSU6439229!Q:Q)</x:f>
        <x:v>#N/A</x:v>
      </x:c>
      <x:c r="J174" s="497" t="e" cm="1">
        <x:f t="array" ref="J174">LOOKUP(1,0/((WHSU6439229!X:X=$D$149)*(WHSU6439229!A:A=A174)),WHSU6439229!AT:AT)</x:f>
        <x:v>#N/A</x:v>
      </x:c>
      <x:c r="K174" s="498" t="e" cm="1">
        <x:f t="array" ref="K174">LOOKUP(1,0/((WHSU6439229!X:X=$D$149)*(WHSU6439229!A:A=A174)),WHSU6439229!S:S)</x:f>
        <x:v>#N/A</x:v>
      </x:c>
    </x:row>
    <x:row r="175" ht="38" customHeight="1">
      <x:c r="A175" s="492">
        <x:v>29</x:v>
      </x:c>
      <x:c r="B175" s="493"/>
      <x:c r="C175" s="494" t="e" cm="1">
        <x:f t="array" ref="C175">LOOKUP(1,0/((WHSU6439229!X:X=$D$149)*(WHSU6439229!A:A=A175)),WHSU6439229!G:G&amp;WHSU6439229!F:F)</x:f>
        <x:v>#N/A</x:v>
      </x:c>
      <x:c r="D175" s="495" t="e" cm="1">
        <x:f t="array" ref="D175">LOOKUP(1,0/((WHSU6439229!X:X=$D$149)*(WHSU6439229!A:A=A175)),WHSU6439229!K:K)</x:f>
        <x:v>#N/A</x:v>
      </x:c>
      <x:c r="E175" s="495" t="e" cm="1">
        <x:f t="array" ref="E175">LOOKUP(1,0/((WHSU6439229!X:X=$D$149)*(WHSU6439229!A:A=A175)),WHSU6439229!J:J)</x:f>
        <x:v>#N/A</x:v>
      </x:c>
      <x:c r="F175" s="495" t="e" cm="1">
        <x:f t="array" ref="F175">LOOKUP(1,0/((WHSU6439229!X:X=$D$149)*(WHSU6439229!A:A=A175)),WHSU6439229!L:L)</x:f>
        <x:v>#N/A</x:v>
      </x:c>
      <x:c r="G175" s="495" t="e" cm="1">
        <x:f t="array" ref="G175">LOOKUP(1,0/((WHSU6439229!X:X=$D$149)*(WHSU6439229!A:A=A175)),WHSU6439229!M:M)</x:f>
        <x:v>#N/A</x:v>
      </x:c>
      <x:c r="H175" s="496" t="e" cm="1">
        <x:f t="array" ref="H175">LOOKUP(1,0/((WHSU6439229!X:X=$D$149)*(WHSU6439229!A:A=A175)),WHSU6439229!P:P)</x:f>
        <x:v>#N/A</x:v>
      </x:c>
      <x:c r="I175" s="497" t="e" cm="1">
        <x:f t="array" ref="I175">LOOKUP(1,0/((WHSU6439229!X:X=$D$149)*(WHSU6439229!A:A=A175)),WHSU6439229!Q:Q)</x:f>
        <x:v>#N/A</x:v>
      </x:c>
      <x:c r="J175" s="497" t="e" cm="1">
        <x:f t="array" ref="J175">LOOKUP(1,0/((WHSU6439229!X:X=$D$149)*(WHSU6439229!A:A=A175)),WHSU6439229!AT:AT)</x:f>
        <x:v>#N/A</x:v>
      </x:c>
      <x:c r="K175" s="498" t="e" cm="1">
        <x:f t="array" ref="K175">LOOKUP(1,0/((WHSU6439229!X:X=$D$149)*(WHSU6439229!A:A=A175)),WHSU6439229!S:S)</x:f>
        <x:v>#N/A</x:v>
      </x:c>
    </x:row>
    <x:row r="176" ht="38" customHeight="1">
      <x:c r="A176" s="492">
        <x:v>30</x:v>
      </x:c>
      <x:c r="B176" s="493"/>
      <x:c r="C176" s="494" t="e" cm="1">
        <x:f t="array" ref="C176">LOOKUP(1,0/((WHSU6439229!X:X=$D$149)*(WHSU6439229!A:A=A176)),WHSU6439229!G:G&amp;WHSU6439229!F:F)</x:f>
        <x:v>#N/A</x:v>
      </x:c>
      <x:c r="D176" s="495" t="e" cm="1">
        <x:f t="array" ref="D176">LOOKUP(1,0/((WHSU6439229!X:X=$D$149)*(WHSU6439229!A:A=A176)),WHSU6439229!K:K)</x:f>
        <x:v>#N/A</x:v>
      </x:c>
      <x:c r="E176" s="495" t="e" cm="1">
        <x:f t="array" ref="E176">LOOKUP(1,0/((WHSU6439229!X:X=$D$149)*(WHSU6439229!A:A=A176)),WHSU6439229!J:J)</x:f>
        <x:v>#N/A</x:v>
      </x:c>
      <x:c r="F176" s="495" t="e" cm="1">
        <x:f t="array" ref="F176">LOOKUP(1,0/((WHSU6439229!X:X=$D$149)*(WHSU6439229!A:A=A176)),WHSU6439229!L:L)</x:f>
        <x:v>#N/A</x:v>
      </x:c>
      <x:c r="G176" s="495" t="e" cm="1">
        <x:f t="array" ref="G176">LOOKUP(1,0/((WHSU6439229!X:X=$D$149)*(WHSU6439229!A:A=A176)),WHSU6439229!M:M)</x:f>
        <x:v>#N/A</x:v>
      </x:c>
      <x:c r="H176" s="496" t="e" cm="1">
        <x:f t="array" ref="H176">LOOKUP(1,0/((WHSU6439229!X:X=$D$149)*(WHSU6439229!A:A=A176)),WHSU6439229!P:P)</x:f>
        <x:v>#N/A</x:v>
      </x:c>
      <x:c r="I176" s="497" t="e" cm="1">
        <x:f t="array" ref="I176">LOOKUP(1,0/((WHSU6439229!X:X=$D$149)*(WHSU6439229!A:A=A176)),WHSU6439229!Q:Q)</x:f>
        <x:v>#N/A</x:v>
      </x:c>
      <x:c r="J176" s="497" t="e" cm="1">
        <x:f t="array" ref="J176">LOOKUP(1,0/((WHSU6439229!X:X=$D$149)*(WHSU6439229!A:A=A176)),WHSU6439229!AT:AT)</x:f>
        <x:v>#N/A</x:v>
      </x:c>
      <x:c r="K176" s="498" t="e" cm="1">
        <x:f t="array" ref="K176">LOOKUP(1,0/((WHSU6439229!X:X=$D$149)*(WHSU6439229!A:A=A176)),WHSU6439229!S:S)</x:f>
        <x:v>#N/A</x:v>
      </x:c>
    </x:row>
    <x:row r="177" ht="38" customHeight="1">
      <x:c r="A177" s="492">
        <x:v>31</x:v>
      </x:c>
      <x:c r="B177" s="493"/>
      <x:c r="C177" s="494" t="e" cm="1">
        <x:f t="array" ref="C177">LOOKUP(1,0/((WHSU6439229!X:X=$D$149)*(WHSU6439229!A:A=A177)),WHSU6439229!G:G&amp;WHSU6439229!F:F)</x:f>
        <x:v>#N/A</x:v>
      </x:c>
      <x:c r="D177" s="495" t="e" cm="1">
        <x:f t="array" ref="D177">LOOKUP(1,0/((WHSU6439229!X:X=$D$149)*(WHSU6439229!A:A=A177)),WHSU6439229!K:K)</x:f>
        <x:v>#N/A</x:v>
      </x:c>
      <x:c r="E177" s="495" t="e" cm="1">
        <x:f t="array" ref="E177">LOOKUP(1,0/((WHSU6439229!X:X=$D$149)*(WHSU6439229!A:A=A177)),WHSU6439229!J:J)</x:f>
        <x:v>#N/A</x:v>
      </x:c>
      <x:c r="F177" s="495" t="e" cm="1">
        <x:f t="array" ref="F177">LOOKUP(1,0/((WHSU6439229!X:X=$D$149)*(WHSU6439229!A:A=A177)),WHSU6439229!L:L)</x:f>
        <x:v>#N/A</x:v>
      </x:c>
      <x:c r="G177" s="495" t="e" cm="1">
        <x:f t="array" ref="G177">LOOKUP(1,0/((WHSU6439229!X:X=$D$149)*(WHSU6439229!A:A=A177)),WHSU6439229!M:M)</x:f>
        <x:v>#N/A</x:v>
      </x:c>
      <x:c r="H177" s="496" t="e" cm="1">
        <x:f t="array" ref="H177">LOOKUP(1,0/((WHSU6439229!X:X=$D$149)*(WHSU6439229!A:A=A177)),WHSU6439229!P:P)</x:f>
        <x:v>#N/A</x:v>
      </x:c>
      <x:c r="I177" s="497" t="e" cm="1">
        <x:f t="array" ref="I177">LOOKUP(1,0/((WHSU6439229!X:X=$D$149)*(WHSU6439229!A:A=A177)),WHSU6439229!Q:Q)</x:f>
        <x:v>#N/A</x:v>
      </x:c>
      <x:c r="J177" s="497" t="e" cm="1">
        <x:f t="array" ref="J177">LOOKUP(1,0/((WHSU6439229!X:X=$D$149)*(WHSU6439229!A:A=A177)),WHSU6439229!AT:AT)</x:f>
        <x:v>#N/A</x:v>
      </x:c>
      <x:c r="K177" s="498" t="e" cm="1">
        <x:f t="array" ref="K177">LOOKUP(1,0/((WHSU6439229!X:X=$D$149)*(WHSU6439229!A:A=A177)),WHSU6439229!S:S)</x:f>
        <x:v>#N/A</x:v>
      </x:c>
    </x:row>
    <x:row r="178" ht="38" customHeight="1">
      <x:c r="A178" s="492">
        <x:v>32</x:v>
      </x:c>
      <x:c r="B178" s="493"/>
      <x:c r="C178" s="494" t="e" cm="1">
        <x:f t="array" ref="C178">LOOKUP(1,0/((WHSU6439229!X:X=$D$149)*(WHSU6439229!A:A=A178)),WHSU6439229!G:G&amp;WHSU6439229!F:F)</x:f>
        <x:v>#N/A</x:v>
      </x:c>
      <x:c r="D178" s="495" t="e" cm="1">
        <x:f t="array" ref="D178">LOOKUP(1,0/((WHSU6439229!X:X=$D$149)*(WHSU6439229!A:A=A178)),WHSU6439229!K:K)</x:f>
        <x:v>#N/A</x:v>
      </x:c>
      <x:c r="E178" s="495" t="e" cm="1">
        <x:f t="array" ref="E178">LOOKUP(1,0/((WHSU6439229!X:X=$D$149)*(WHSU6439229!A:A=A178)),WHSU6439229!J:J)</x:f>
        <x:v>#N/A</x:v>
      </x:c>
      <x:c r="F178" s="495" t="e" cm="1">
        <x:f t="array" ref="F178">LOOKUP(1,0/((WHSU6439229!X:X=$D$149)*(WHSU6439229!A:A=A178)),WHSU6439229!L:L)</x:f>
        <x:v>#N/A</x:v>
      </x:c>
      <x:c r="G178" s="495" t="e" cm="1">
        <x:f t="array" ref="G178">LOOKUP(1,0/((WHSU6439229!X:X=$D$149)*(WHSU6439229!A:A=A178)),WHSU6439229!M:M)</x:f>
        <x:v>#N/A</x:v>
      </x:c>
      <x:c r="H178" s="496" t="e" cm="1">
        <x:f t="array" ref="H178">LOOKUP(1,0/((WHSU6439229!X:X=$D$149)*(WHSU6439229!A:A=A178)),WHSU6439229!P:P)</x:f>
        <x:v>#N/A</x:v>
      </x:c>
      <x:c r="I178" s="497" t="e" cm="1">
        <x:f t="array" ref="I178">LOOKUP(1,0/((WHSU6439229!X:X=$D$149)*(WHSU6439229!A:A=A178)),WHSU6439229!Q:Q)</x:f>
        <x:v>#N/A</x:v>
      </x:c>
      <x:c r="J178" s="497" t="e" cm="1">
        <x:f t="array" ref="J178">LOOKUP(1,0/((WHSU6439229!X:X=$D$149)*(WHSU6439229!A:A=A178)),WHSU6439229!AT:AT)</x:f>
        <x:v>#N/A</x:v>
      </x:c>
      <x:c r="K178" s="498" t="e" cm="1">
        <x:f t="array" ref="K178">LOOKUP(1,0/((WHSU6439229!X:X=$D$149)*(WHSU6439229!A:A=A178)),WHSU6439229!S:S)</x:f>
        <x:v>#N/A</x:v>
      </x:c>
    </x:row>
    <x:row r="179" ht="38" customHeight="1">
      <x:c r="A179" s="492">
        <x:v>33</x:v>
      </x:c>
      <x:c r="B179" s="493"/>
      <x:c r="C179" s="494" t="e" cm="1">
        <x:f t="array" ref="C179">LOOKUP(1,0/((WHSU6439229!X:X=$D$149)*(WHSU6439229!A:A=A179)),WHSU6439229!G:G&amp;WHSU6439229!F:F)</x:f>
        <x:v>#N/A</x:v>
      </x:c>
      <x:c r="D179" s="495" t="e" cm="1">
        <x:f t="array" ref="D179">LOOKUP(1,0/((WHSU6439229!X:X=$D$149)*(WHSU6439229!A:A=A179)),WHSU6439229!K:K)</x:f>
        <x:v>#N/A</x:v>
      </x:c>
      <x:c r="E179" s="495" t="e" cm="1">
        <x:f t="array" ref="E179">LOOKUP(1,0/((WHSU6439229!X:X=$D$149)*(WHSU6439229!A:A=A179)),WHSU6439229!J:J)</x:f>
        <x:v>#N/A</x:v>
      </x:c>
      <x:c r="F179" s="495" t="e" cm="1">
        <x:f t="array" ref="F179">LOOKUP(1,0/((WHSU6439229!X:X=$D$149)*(WHSU6439229!A:A=A179)),WHSU6439229!L:L)</x:f>
        <x:v>#N/A</x:v>
      </x:c>
      <x:c r="G179" s="495" t="e" cm="1">
        <x:f t="array" ref="G179">LOOKUP(1,0/((WHSU6439229!X:X=$D$149)*(WHSU6439229!A:A=A179)),WHSU6439229!M:M)</x:f>
        <x:v>#N/A</x:v>
      </x:c>
      <x:c r="H179" s="496" t="e" cm="1">
        <x:f t="array" ref="H179">LOOKUP(1,0/((WHSU6439229!X:X=$D$149)*(WHSU6439229!A:A=A179)),WHSU6439229!P:P)</x:f>
        <x:v>#N/A</x:v>
      </x:c>
      <x:c r="I179" s="497" t="e" cm="1">
        <x:f t="array" ref="I179">LOOKUP(1,0/((WHSU6439229!X:X=$D$149)*(WHSU6439229!A:A=A179)),WHSU6439229!Q:Q)</x:f>
        <x:v>#N/A</x:v>
      </x:c>
      <x:c r="J179" s="497" t="e" cm="1">
        <x:f t="array" ref="J179">LOOKUP(1,0/((WHSU6439229!X:X=$D$149)*(WHSU6439229!A:A=A179)),WHSU6439229!AT:AT)</x:f>
        <x:v>#N/A</x:v>
      </x:c>
      <x:c r="K179" s="498" t="e" cm="1">
        <x:f t="array" ref="K179">LOOKUP(1,0/((WHSU6439229!X:X=$D$149)*(WHSU6439229!A:A=A179)),WHSU6439229!S:S)</x:f>
        <x:v>#N/A</x:v>
      </x:c>
    </x:row>
    <x:row r="180" ht="38" customHeight="1">
      <x:c r="A180" s="492"/>
      <x:c r="B180" s="499"/>
      <x:c r="C180" s="494"/>
      <x:c r="D180" s="495"/>
      <x:c r="E180" s="495"/>
      <x:c r="F180" s="495"/>
      <x:c r="G180" s="495"/>
      <x:c r="H180" s="496"/>
      <x:c r="I180" s="497"/>
      <x:c r="J180" s="497"/>
      <x:c r="K180" s="498"/>
    </x:row>
    <x:row r="181" ht="18">
      <x:c r="A181" s="500"/>
      <x:c r="B181" s="501"/>
      <x:c r="C181" s="494"/>
      <x:c r="D181" s="502" t="e">
        <x:f>SUM(D164:D180)</x:f>
        <x:v>#N/A</x:v>
      </x:c>
      <x:c r="E181" s="503"/>
      <x:c r="F181" s="502"/>
      <x:c r="G181" s="502"/>
      <x:c r="H181" s="516" t="e">
        <x:f>SUM(H164:H180)</x:f>
        <x:v>#N/A</x:v>
      </x:c>
      <x:c r="I181" s="516" t="e">
        <x:f>SUM(I164:I180)</x:f>
        <x:v>#N/A</x:v>
      </x:c>
      <x:c r="J181" s="516" t="e">
        <x:f>SUM(J164:J180)</x:f>
        <x:v>#N/A</x:v>
      </x:c>
      <x:c r="K181" s="516" t="e">
        <x:f>SUM(K164:K180)</x:f>
        <x:v>#N/A</x:v>
      </x:c>
    </x:row>
    <x:row r="182" ht="18.75">
      <x:c r="A182" s="504"/>
      <x:c r="B182" s="505"/>
      <x:c r="C182" s="506"/>
      <x:c r="D182" s="507"/>
      <x:c r="E182" s="508" t="s">
        <x:v>86</x:v>
      </x:c>
      <x:c r="F182" s="508"/>
      <x:c r="G182" s="508"/>
      <x:c r="H182" s="508" t="s">
        <x:v>86</x:v>
      </x:c>
      <x:c r="I182" s="508" t="s">
        <x:v>86</x:v>
      </x:c>
      <x:c r="J182" s="508" t="s">
        <x:v>86</x:v>
      </x:c>
      <x:c r="K182" s="508" t="s">
        <x:v>86</x:v>
      </x:c>
    </x:row>
    <x:row r="184">
      <x:c r="H184" s="407" t="e">
        <x:f t="shared" ref="H184:K184" si="1">H138+H40+H181+H105+H72</x:f>
        <x:v>#N/A</x:v>
      </x:c>
      <x:c r="I184" s="407">
        <x:f t="shared" si="1"/>
        <x:v>12828.44</x:v>
      </x:c>
      <x:c r="J184" s="407">
        <x:f t="shared" si="1"/>
        <x:v>106</x:v>
      </x:c>
      <x:c r="K184" s="407">
        <x:f t="shared" si="1"/>
        <x:v>61.33</x:v>
      </x:c>
    </x:row>
    <x:row r="186">
      <x:c r="H186" s="407" t="n">
        <x:f>WHSU6439229!P41</x:f>
        <x:v>0</x:v>
      </x:c>
      <x:c r="I186" s="407" t="n">
        <x:f>WHSU6439229!Q41</x:f>
        <x:v>0</x:v>
      </x:c>
      <x:c r="J186" s="407" t="n">
        <x:f>WHSU6439229!AT41</x:f>
        <x:v>0</x:v>
      </x:c>
      <x:c r="K186" s="407" t="n">
        <x:f>WHSU6439229!S41</x:f>
        <x:v>0</x:v>
      </x:c>
    </x:row>
  </x:sheetData>
  <x:mergeCells>
    <x:mergeCell ref="A1:K1"/>
    <x:mergeCell ref="D9:G9"/>
    <x:mergeCell ref="H9:K9"/>
    <x:mergeCell ref="D11:G11"/>
    <x:mergeCell ref="H11:I11"/>
    <x:mergeCell ref="E12:G12"/>
    <x:mergeCell ref="A43:K43"/>
    <x:mergeCell ref="D51:G51"/>
    <x:mergeCell ref="H51:K51"/>
    <x:mergeCell ref="D53:G53"/>
    <x:mergeCell ref="H53:I53"/>
    <x:mergeCell ref="E54:G54"/>
    <x:mergeCell ref="A76:K76"/>
    <x:mergeCell ref="D84:G84"/>
    <x:mergeCell ref="H84:K84"/>
    <x:mergeCell ref="D86:G86"/>
    <x:mergeCell ref="H86:I86"/>
    <x:mergeCell ref="E87:G87"/>
    <x:mergeCell ref="A109:K109"/>
    <x:mergeCell ref="D117:G117"/>
    <x:mergeCell ref="H117:K117"/>
    <x:mergeCell ref="A118:C118"/>
    <x:mergeCell ref="A119:C119"/>
    <x:mergeCell ref="D119:G119"/>
    <x:mergeCell ref="H119:I119"/>
    <x:mergeCell ref="A120:C120"/>
    <x:mergeCell ref="E120:G120"/>
    <x:mergeCell ref="A121:C121"/>
    <x:mergeCell ref="A122:C122"/>
    <x:mergeCell ref="A141:K141"/>
    <x:mergeCell ref="D149:G149"/>
    <x:mergeCell ref="H149:K149"/>
    <x:mergeCell ref="A150:C150"/>
    <x:mergeCell ref="A151:C151"/>
    <x:mergeCell ref="D151:G151"/>
    <x:mergeCell ref="H151:I151"/>
    <x:mergeCell ref="A152:C152"/>
    <x:mergeCell ref="E152:G152"/>
    <x:mergeCell ref="A153:C153"/>
    <x:mergeCell ref="A154:C154"/>
    <x:mergeCell ref="D13:G15"/>
    <x:mergeCell ref="H13:K15"/>
    <x:mergeCell ref="A2:K3"/>
    <x:mergeCell ref="A6:K7"/>
    <x:mergeCell ref="A9:C11"/>
    <x:mergeCell ref="D17:G20"/>
    <x:mergeCell ref="H17:K20"/>
    <x:mergeCell ref="A77:K78"/>
    <x:mergeCell ref="A81:K82"/>
    <x:mergeCell ref="D88:G90"/>
    <x:mergeCell ref="H88:K90"/>
    <x:mergeCell ref="D92:G95"/>
    <x:mergeCell ref="H92:K95"/>
    <x:mergeCell ref="A44:K45"/>
    <x:mergeCell ref="A48:K49"/>
    <x:mergeCell ref="A51:C53"/>
    <x:mergeCell ref="D55:G57"/>
    <x:mergeCell ref="H55:K57"/>
    <x:mergeCell ref="D59:G62"/>
    <x:mergeCell ref="H59:K62"/>
    <x:mergeCell ref="A110:K111"/>
    <x:mergeCell ref="A114:K115"/>
    <x:mergeCell ref="D121:G123"/>
    <x:mergeCell ref="H121:K123"/>
    <x:mergeCell ref="D125:G128"/>
    <x:mergeCell ref="H125:K128"/>
    <x:mergeCell ref="A142:K143"/>
    <x:mergeCell ref="A146:K147"/>
    <x:mergeCell ref="D153:G155"/>
    <x:mergeCell ref="H153:K155"/>
    <x:mergeCell ref="D157:G160"/>
    <x:mergeCell ref="H157:K160"/>
    <x:mergeCell ref="A84:C86"/>
  </x:mergeCells>
  <x:conditionalFormatting sqref="A14:A14">
    <x:cfRule type="cellIs" dxfId="0" priority="141" stopIfTrue="1" operator="equal">
      <x:formula>0</x:formula>
    </x:cfRule>
  </x:conditionalFormatting>
  <x:conditionalFormatting sqref="C16:C16">
    <x:cfRule type="cellIs" dxfId="0" priority="138" stopIfTrue="1" operator="equal">
      <x:formula>0</x:formula>
    </x:cfRule>
  </x:conditionalFormatting>
  <x:conditionalFormatting sqref="C21:C21">
    <x:cfRule type="cellIs" dxfId="0" priority="139" stopIfTrue="1" operator="equal">
      <x:formula>0</x:formula>
    </x:cfRule>
  </x:conditionalFormatting>
  <x:conditionalFormatting sqref="A22:A22">
    <x:cfRule type="cellIs" dxfId="0" priority="137" stopIfTrue="1" operator="equal">
      <x:formula>0</x:formula>
    </x:cfRule>
  </x:conditionalFormatting>
  <x:conditionalFormatting sqref="A56:A56">
    <x:cfRule type="cellIs" dxfId="0" priority="12" stopIfTrue="1" operator="equal">
      <x:formula>0</x:formula>
    </x:cfRule>
  </x:conditionalFormatting>
  <x:conditionalFormatting sqref="C58:C58">
    <x:cfRule type="cellIs" dxfId="0" priority="9" stopIfTrue="1" operator="equal">
      <x:formula>0</x:formula>
    </x:cfRule>
  </x:conditionalFormatting>
  <x:conditionalFormatting sqref="C63:C63">
    <x:cfRule type="cellIs" dxfId="0" priority="10" stopIfTrue="1" operator="equal">
      <x:formula>0</x:formula>
    </x:cfRule>
  </x:conditionalFormatting>
  <x:conditionalFormatting sqref="A64:A64">
    <x:cfRule type="cellIs" dxfId="0" priority="8" stopIfTrue="1" operator="equal">
      <x:formula>0</x:formula>
    </x:cfRule>
  </x:conditionalFormatting>
  <x:conditionalFormatting sqref="A89:A89">
    <x:cfRule type="cellIs" dxfId="0" priority="6" stopIfTrue="1" operator="equal">
      <x:formula>0</x:formula>
    </x:cfRule>
  </x:conditionalFormatting>
  <x:conditionalFormatting sqref="C91:C91">
    <x:cfRule type="cellIs" dxfId="0" priority="3" stopIfTrue="1" operator="equal">
      <x:formula>0</x:formula>
    </x:cfRule>
  </x:conditionalFormatting>
  <x:conditionalFormatting sqref="C96:C96">
    <x:cfRule type="cellIs" dxfId="0" priority="4" stopIfTrue="1" operator="equal">
      <x:formula>0</x:formula>
    </x:cfRule>
  </x:conditionalFormatting>
  <x:conditionalFormatting sqref="A97:A97">
    <x:cfRule type="cellIs" dxfId="0" priority="2" stopIfTrue="1" operator="equal">
      <x:formula>0</x:formula>
    </x:cfRule>
  </x:conditionalFormatting>
  <x:conditionalFormatting sqref="C124:C124">
    <x:cfRule type="cellIs" dxfId="0" priority="21" stopIfTrue="1" operator="equal">
      <x:formula>0</x:formula>
    </x:cfRule>
  </x:conditionalFormatting>
  <x:conditionalFormatting sqref="C129:C129">
    <x:cfRule type="cellIs" dxfId="0" priority="22" stopIfTrue="1" operator="equal">
      <x:formula>0</x:formula>
    </x:cfRule>
  </x:conditionalFormatting>
  <x:conditionalFormatting sqref="A130:A130">
    <x:cfRule type="cellIs" dxfId="0" priority="20" stopIfTrue="1" operator="equal">
      <x:formula>0</x:formula>
    </x:cfRule>
  </x:conditionalFormatting>
  <x:conditionalFormatting sqref="C156:C156">
    <x:cfRule type="cellIs" dxfId="0" priority="16" stopIfTrue="1" operator="equal">
      <x:formula>0</x:formula>
    </x:cfRule>
  </x:conditionalFormatting>
  <x:conditionalFormatting sqref="C161:C161">
    <x:cfRule type="cellIs" dxfId="0" priority="17" stopIfTrue="1" operator="equal">
      <x:formula>0</x:formula>
    </x:cfRule>
  </x:conditionalFormatting>
  <x:conditionalFormatting sqref="A162:A162">
    <x:cfRule type="cellIs" dxfId="0" priority="15" stopIfTrue="1" operator="equal">
      <x:formula>0</x:formula>
    </x:cfRule>
  </x:conditionalFormatting>
  <x:conditionalFormatting sqref="A12:A13">
    <x:cfRule type="cellIs" dxfId="0" priority="140" stopIfTrue="1" operator="equal">
      <x:formula>0</x:formula>
    </x:cfRule>
  </x:conditionalFormatting>
  <x:conditionalFormatting sqref="A16:A18">
    <x:cfRule type="cellIs" dxfId="0" priority="136" stopIfTrue="1" operator="equal">
      <x:formula>0</x:formula>
    </x:cfRule>
  </x:conditionalFormatting>
  <x:conditionalFormatting sqref="A54:A55">
    <x:cfRule type="cellIs" dxfId="0" priority="11" stopIfTrue="1" operator="equal">
      <x:formula>0</x:formula>
    </x:cfRule>
  </x:conditionalFormatting>
  <x:conditionalFormatting sqref="A58:A60">
    <x:cfRule type="cellIs" dxfId="0" priority="7" stopIfTrue="1" operator="equal">
      <x:formula>0</x:formula>
    </x:cfRule>
  </x:conditionalFormatting>
  <x:conditionalFormatting sqref="A87:A88">
    <x:cfRule type="cellIs" dxfId="0" priority="5" stopIfTrue="1" operator="equal">
      <x:formula>0</x:formula>
    </x:cfRule>
  </x:conditionalFormatting>
  <x:conditionalFormatting sqref="A91:A93">
    <x:cfRule type="cellIs" dxfId="0" priority="1" stopIfTrue="1" operator="equal">
      <x:formula>0</x:formula>
    </x:cfRule>
  </x:conditionalFormatting>
  <x:conditionalFormatting sqref="A120:A122">
    <x:cfRule type="cellIs" dxfId="0" priority="18" stopIfTrue="1" operator="equal">
      <x:formula>0</x:formula>
    </x:cfRule>
  </x:conditionalFormatting>
  <x:conditionalFormatting sqref="A124:A126">
    <x:cfRule type="cellIs" dxfId="0" priority="19" stopIfTrue="1" operator="equal">
      <x:formula>0</x:formula>
    </x:cfRule>
  </x:conditionalFormatting>
  <x:conditionalFormatting sqref="A152:A154">
    <x:cfRule type="cellIs" dxfId="0" priority="13" stopIfTrue="1" operator="equal">
      <x:formula>0</x:formula>
    </x:cfRule>
  </x:conditionalFormatting>
  <x:conditionalFormatting sqref="A156:A158">
    <x:cfRule type="cellIs" dxfId="0" priority="14" stopIfTrue="1" operator="equal">
      <x:formula>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9" defaultRowHeight="25"/>
  <x:cols>
    <x:col min="1" max="1" width="16.358333587646484" style="389" customWidth="1"/>
    <x:col min="2" max="2" width="41.358333587646484" style="389" customWidth="1"/>
    <x:col min="3" max="3" width="15.774999618530273" style="389" customWidth="1"/>
    <x:col min="4" max="4" width="83.38333129882812" style="390" customWidth="1"/>
    <x:col min="5" max="16384" width="9" style="389" customWidth="1"/>
  </x:cols>
  <x:sheetData>
    <x:row r="1" customHeight="1">
      <x:c r="A1" s="389" t="s">
        <x:v>225</x:v>
      </x:c>
      <x:c r="B1" s="389" t="s">
        <x:v>226</x:v>
      </x:c>
      <x:c r="D1" s="390" t="s">
        <x:v>227</x:v>
      </x:c>
    </x:row>
    <x:row r="2" customHeight="1">
      <x:c r="A2" s="389">
        <x:v>8483409090</x:v>
      </x:c>
      <x:c r="B2" s="389" t="s">
        <x:v>228</x:v>
      </x:c>
      <x:c r="D2" s="390" t="s">
        <x:v>229</x:v>
      </x:c>
    </x:row>
    <x:row r="3" customHeight="1">
      <x:c r="A3" s="389">
        <x:v>8483409090</x:v>
      </x:c>
      <x:c r="B3" s="389" t="s">
        <x:v>230</x:v>
      </x:c>
      <x:c r="D3" s="390" t="s">
        <x:v>231</x:v>
      </x:c>
    </x:row>
    <x:row r="4" customHeight="1">
      <x:c r="A4" s="389">
        <x:v>5806109000</x:v>
      </x:c>
      <x:c r="B4" s="389" t="s">
        <x:v>232</x:v>
      </x:c>
      <x:c r="D4" s="390" t="s">
        <x:v>233</x:v>
      </x:c>
    </x:row>
    <x:row r="5" customHeight="1">
      <x:c r="A5" s="389">
        <x:v>5806109000</x:v>
      </x:c>
      <x:c r="B5" s="389" t="s">
        <x:v>234</x:v>
      </x:c>
      <x:c r="D5" s="390" t="s">
        <x:v>233</x:v>
      </x:c>
    </x:row>
    <x:row r="6" customHeight="1">
      <x:c r="A6" s="389">
        <x:v>5808100000</x:v>
      </x:c>
      <x:c r="B6" s="389" t="s">
        <x:v>235</x:v>
      </x:c>
      <x:c r="D6" s="390" t="s">
        <x:v>236</x:v>
      </x:c>
    </x:row>
    <x:row r="7" customHeight="1">
      <x:c r="A7" s="389">
        <x:v>5808100000</x:v>
      </x:c>
      <x:c r="B7" s="389" t="s">
        <x:v>237</x:v>
      </x:c>
      <x:c r="D7" s="390" t="s">
        <x:v>236</x:v>
      </x:c>
    </x:row>
    <x:row r="8" customHeight="1">
      <x:c r="A8" s="389">
        <x:v>5808100000</x:v>
      </x:c>
      <x:c r="B8" s="389" t="s">
        <x:v>238</x:v>
      </x:c>
      <x:c r="D8" s="390" t="s">
        <x:v>236</x:v>
      </x:c>
    </x:row>
    <x:row r="9" customHeight="1">
      <x:c r="A9" s="389">
        <x:v>5806109000</x:v>
      </x:c>
      <x:c r="B9" s="389" t="s">
        <x:v>239</x:v>
      </x:c>
      <x:c r="D9" s="390" t="s">
        <x:v>233</x:v>
      </x:c>
    </x:row>
    <x:row r="10" customHeight="1">
      <x:c r="A10" s="389">
        <x:v>5806109000</x:v>
      </x:c>
      <x:c r="B10" s="389" t="s">
        <x:v>240</x:v>
      </x:c>
      <x:c r="D10" s="390" t="s">
        <x:v>233</x:v>
      </x:c>
    </x:row>
    <x:row r="11" customHeight="1">
      <x:c r="A11" s="389">
        <x:v>5806320000</x:v>
      </x:c>
      <x:c r="B11" s="389" t="s">
        <x:v>241</x:v>
      </x:c>
    </x:row>
    <x:row r="12" customHeight="1">
      <x:c r="A12" s="389">
        <x:v>5808100000</x:v>
      </x:c>
      <x:c r="B12" s="389" t="s">
        <x:v>242</x:v>
      </x:c>
      <x:c r="D12" s="390" t="s">
        <x:v>236</x:v>
      </x:c>
    </x:row>
    <x:row r="13" customHeight="1">
      <x:c r="A13" s="389">
        <x:v>5806320000</x:v>
      </x:c>
      <x:c r="B13" s="389" t="s">
        <x:v>243</x:v>
      </x:c>
      <x:c r="D13" s="390" t="s">
        <x:v>236</x:v>
      </x:c>
    </x:row>
    <x:row r="14" s="389" customFormat="1" customHeight="1">
      <x:c r="A14" s="389">
        <x:v>5808100000</x:v>
      </x:c>
      <x:c r="B14" s="389" t="s">
        <x:v>244</x:v>
      </x:c>
      <x:c r="D14" s="390" t="s">
        <x:v>245</x:v>
      </x:c>
    </x:row>
    <x:row r="15" customHeight="1">
      <x:c r="A15" s="389">
        <x:v>5806320000</x:v>
      </x:c>
      <x:c r="B15" s="389" t="s">
        <x:v>246</x:v>
      </x:c>
      <x:c r="D15" s="390" t="s">
        <x:v>236</x:v>
      </x:c>
    </x:row>
    <x:row r="16" customHeight="1">
      <x:c r="A16" s="389">
        <x:v>5808100000</x:v>
      </x:c>
      <x:c r="B16" s="389" t="s">
        <x:v>247</x:v>
      </x:c>
      <x:c r="D16" s="390" t="s">
        <x:v>236</x:v>
      </x:c>
    </x:row>
    <x:row r="17" s="389" customFormat="1" customHeight="1">
      <x:c r="A17" s="389">
        <x:v>5808100000</x:v>
      </x:c>
      <x:c r="B17" s="389" t="s">
        <x:v>248</x:v>
      </x:c>
      <x:c r="D17" s="390" t="s">
        <x:v>236</x:v>
      </x:c>
    </x:row>
    <x:row r="18" customHeight="1">
      <x:c r="A18" s="389">
        <x:v>5808100000</x:v>
      </x:c>
      <x:c r="B18" s="389" t="s">
        <x:v>249</x:v>
      </x:c>
      <x:c r="D18" s="390" t="s">
        <x:v>236</x:v>
      </x:c>
    </x:row>
    <x:row r="19" s="389" customFormat="1" customHeight="1">
      <x:c r="A19" s="389">
        <x:v>5808100000</x:v>
      </x:c>
      <x:c r="B19" s="389" t="s">
        <x:v>250</x:v>
      </x:c>
      <x:c r="D19" s="390" t="s">
        <x:v>245</x:v>
      </x:c>
    </x:row>
    <x:row r="20" s="389" customFormat="1" customHeight="1">
      <x:c r="A20" s="389">
        <x:v>5808100000</x:v>
      </x:c>
      <x:c r="B20" s="389" t="s">
        <x:v>251</x:v>
      </x:c>
      <x:c r="D20" s="390" t="s">
        <x:v>236</x:v>
      </x:c>
    </x:row>
    <x:row r="21" customHeight="1">
      <x:c r="A21" s="389">
        <x:v>5808100000</x:v>
      </x:c>
      <x:c r="B21" s="389" t="s">
        <x:v>252</x:v>
      </x:c>
      <x:c r="D21" s="390" t="s">
        <x:v>236</x:v>
      </x:c>
    </x:row>
    <x:row r="22" customHeight="1">
      <x:c r="A22" s="389">
        <x:v>5806320000</x:v>
      </x:c>
      <x:c r="B22" s="389" t="s">
        <x:v>253</x:v>
      </x:c>
      <x:c r="D22" s="390" t="s">
        <x:v>236</x:v>
      </x:c>
    </x:row>
    <x:row r="23" customHeight="1">
      <x:c r="A23" s="389">
        <x:v>5808100000</x:v>
      </x:c>
      <x:c r="B23" s="389" t="s">
        <x:v>254</x:v>
      </x:c>
      <x:c r="D23" s="390" t="s">
        <x:v>236</x:v>
      </x:c>
    </x:row>
    <x:row r="24" customHeight="1">
      <x:c r="A24" s="389">
        <x:v>5808100090</x:v>
      </x:c>
      <x:c r="B24" s="389" t="s">
        <x:v>255</x:v>
      </x:c>
    </x:row>
    <x:row r="25" s="389" customFormat="1" customHeight="1">
      <x:c r="A25" s="389">
        <x:v>5808100000</x:v>
      </x:c>
      <x:c r="B25" s="389" t="s">
        <x:v>256</x:v>
      </x:c>
      <x:c r="D25" s="390" t="s">
        <x:v>257</x:v>
      </x:c>
    </x:row>
    <x:row r="26" customHeight="1">
      <x:c r="A26" s="389">
        <x:v>5806109000</x:v>
      </x:c>
      <x:c r="B26" s="389" t="s">
        <x:v>258</x:v>
      </x:c>
      <x:c r="D26" s="390" t="s">
        <x:v>233</x:v>
      </x:c>
    </x:row>
    <x:row r="27" customHeight="1">
      <x:c r="A27" s="389">
        <x:v>5806109000</x:v>
      </x:c>
      <x:c r="B27" s="389" t="s">
        <x:v>259</x:v>
      </x:c>
      <x:c r="D27" s="390" t="s">
        <x:v>233</x:v>
      </x:c>
    </x:row>
    <x:row r="28" customHeight="1">
      <x:c r="A28" s="389">
        <x:v>5806109000</x:v>
      </x:c>
      <x:c r="B28" s="389" t="s">
        <x:v>260</x:v>
      </x:c>
      <x:c r="D28" s="390" t="s">
        <x:v>233</x:v>
      </x:c>
    </x:row>
    <x:row r="29" customHeight="1">
      <x:c r="A29" s="389">
        <x:v>5806109000</x:v>
      </x:c>
      <x:c r="B29" s="389" t="s">
        <x:v>261</x:v>
      </x:c>
      <x:c r="D29" s="390" t="s">
        <x:v>233</x:v>
      </x:c>
    </x:row>
    <x:row r="30" customHeight="1">
      <x:c r="A30" s="389">
        <x:v>5808100000</x:v>
      </x:c>
      <x:c r="B30" s="389" t="s">
        <x:v>262</x:v>
      </x:c>
      <x:c r="D30" s="390" t="s">
        <x:v>236</x:v>
      </x:c>
    </x:row>
    <x:row r="31" customHeight="1">
      <x:c r="A31" s="389">
        <x:v>8479899990</x:v>
      </x:c>
      <x:c r="B31" s="389" t="s">
        <x:v>263</x:v>
      </x:c>
      <x:c r="D31" s="390" t="s">
        <x:v>264</x:v>
      </x:c>
    </x:row>
    <x:row r="32" customHeight="1">
      <x:c r="A32" s="389">
        <x:v>4819100000</x:v>
      </x:c>
      <x:c r="B32" s="389" t="s">
        <x:v>265</x:v>
      </x:c>
      <x:c r="D32" s="390" t="s">
        <x:v>266</x:v>
      </x:c>
    </x:row>
    <x:row r="33" customHeight="1">
      <x:c r="A33" s="389">
        <x:v>4819100000</x:v>
      </x:c>
      <x:c r="B33" s="389" t="s">
        <x:v>267</x:v>
      </x:c>
      <x:c r="D33" s="390" t="s">
        <x:v>266</x:v>
      </x:c>
    </x:row>
    <x:row r="34" customHeight="1">
      <x:c r="A34" s="389">
        <x:v>4819100000</x:v>
      </x:c>
      <x:c r="B34" s="389" t="s">
        <x:v>268</x:v>
      </x:c>
      <x:c r="D34" s="390" t="s">
        <x:v>266</x:v>
      </x:c>
    </x:row>
    <x:row r="35" customHeight="1">
      <x:c r="A35" s="389">
        <x:v>4819100000</x:v>
      </x:c>
      <x:c r="B35" s="389" t="s">
        <x:v>269</x:v>
      </x:c>
      <x:c r="D35" s="390" t="s">
        <x:v>266</x:v>
      </x:c>
    </x:row>
    <x:row r="36" customHeight="1">
      <x:c r="A36" s="389">
        <x:v>4819100000</x:v>
      </x:c>
      <x:c r="B36" s="389" t="s">
        <x:v>270</x:v>
      </x:c>
      <x:c r="D36" s="390" t="s">
        <x:v>266</x:v>
      </x:c>
    </x:row>
    <x:row r="37" customHeight="1">
      <x:c r="A37" s="389">
        <x:v>4819100000</x:v>
      </x:c>
      <x:c r="B37" s="389" t="s">
        <x:v>271</x:v>
      </x:c>
      <x:c r="D37" s="390" t="s">
        <x:v>266</x:v>
      </x:c>
    </x:row>
    <x:row r="38" customHeight="1">
      <x:c r="A38" s="389">
        <x:v>4819100000</x:v>
      </x:c>
      <x:c r="B38" s="389" t="s">
        <x:v>272</x:v>
      </x:c>
      <x:c r="D38" s="390" t="s">
        <x:v>266</x:v>
      </x:c>
    </x:row>
    <x:row r="39" customHeight="1">
      <x:c r="A39" s="391">
        <x:v>4819100000</x:v>
      </x:c>
      <x:c r="B39" s="392" t="s">
        <x:v>273</x:v>
      </x:c>
      <x:c r="C39" s="392"/>
      <x:c r="D39" s="393" t="s">
        <x:v>266</x:v>
      </x:c>
    </x:row>
    <x:row r="40" customHeight="1">
      <x:c r="A40" s="391">
        <x:v>4819100000</x:v>
      </x:c>
      <x:c r="B40" s="392" t="s">
        <x:v>274</x:v>
      </x:c>
      <x:c r="C40" s="392"/>
      <x:c r="D40" s="393" t="s">
        <x:v>266</x:v>
      </x:c>
    </x:row>
    <x:row r="41" customHeight="1">
      <x:c r="A41" s="391">
        <x:v>4819100000</x:v>
      </x:c>
      <x:c r="B41" s="392" t="s">
        <x:v>275</x:v>
      </x:c>
      <x:c r="C41" s="392"/>
      <x:c r="D41" s="393" t="s">
        <x:v>266</x:v>
      </x:c>
    </x:row>
    <x:row r="42" customHeight="1">
      <x:c r="A42" s="391">
        <x:v>4819100000</x:v>
      </x:c>
      <x:c r="B42" s="392" t="s">
        <x:v>276</x:v>
      </x:c>
      <x:c r="C42" s="392"/>
      <x:c r="D42" s="393" t="s">
        <x:v>266</x:v>
      </x:c>
    </x:row>
    <x:row r="43" customHeight="1">
      <x:c r="A43" s="391">
        <x:v>4819100000</x:v>
      </x:c>
      <x:c r="B43" s="392" t="s">
        <x:v>277</x:v>
      </x:c>
      <x:c r="C43" s="392"/>
      <x:c r="D43" s="393" t="s">
        <x:v>266</x:v>
      </x:c>
    </x:row>
    <x:row r="44" customHeight="1">
      <x:c r="A44" s="391">
        <x:v>4819100000</x:v>
      </x:c>
      <x:c r="B44" s="392" t="s">
        <x:v>278</x:v>
      </x:c>
      <x:c r="C44" s="392"/>
      <x:c r="D44" s="393" t="s">
        <x:v>266</x:v>
      </x:c>
    </x:row>
    <x:row r="45" customHeight="1">
      <x:c r="A45" s="391">
        <x:v>4819100000</x:v>
      </x:c>
      <x:c r="B45" s="392" t="s">
        <x:v>279</x:v>
      </x:c>
      <x:c r="C45" s="392"/>
      <x:c r="D45" s="393" t="s">
        <x:v>266</x:v>
      </x:c>
    </x:row>
    <x:row r="46" customHeight="1">
      <x:c r="A46" s="391">
        <x:v>4819100000</x:v>
      </x:c>
      <x:c r="B46" s="392" t="s">
        <x:v>280</x:v>
      </x:c>
      <x:c r="C46" s="392"/>
      <x:c r="D46" s="393" t="s">
        <x:v>266</x:v>
      </x:c>
    </x:row>
    <x:row r="47" customHeight="1">
      <x:c r="A47" s="391">
        <x:v>4819100000</x:v>
      </x:c>
      <x:c r="B47" s="392" t="s">
        <x:v>281</x:v>
      </x:c>
      <x:c r="C47" s="392"/>
      <x:c r="D47" s="393" t="s">
        <x:v>266</x:v>
      </x:c>
    </x:row>
    <x:row r="48" customHeight="1">
      <x:c r="A48" s="391">
        <x:v>4819100000</x:v>
      </x:c>
      <x:c r="B48" s="392" t="s">
        <x:v>282</x:v>
      </x:c>
      <x:c r="C48" s="392"/>
      <x:c r="D48" s="393" t="s">
        <x:v>266</x:v>
      </x:c>
    </x:row>
    <x:row r="49" customHeight="1">
      <x:c r="A49" s="389">
        <x:v>8443999090</x:v>
      </x:c>
      <x:c r="B49" s="389" t="s">
        <x:v>283</x:v>
      </x:c>
      <x:c r="D49" s="390" t="s">
        <x:v>284</x:v>
      </x:c>
    </x:row>
    <x:row r="50" customHeight="1">
      <x:c r="A50" s="389">
        <x:v>7326909000</x:v>
      </x:c>
      <x:c r="B50" s="389" t="s">
        <x:v>285</x:v>
      </x:c>
      <x:c r="D50" s="390" t="s">
        <x:v>286</x:v>
      </x:c>
    </x:row>
    <x:row r="51" customHeight="1">
      <x:c r="A51" s="389">
        <x:v>7326909000</x:v>
      </x:c>
      <x:c r="B51" s="389" t="s">
        <x:v>287</x:v>
      </x:c>
      <x:c r="D51" s="390" t="s">
        <x:v>286</x:v>
      </x:c>
    </x:row>
    <x:row r="52" customHeight="1">
      <x:c r="A52" s="389">
        <x:v>7326909000</x:v>
      </x:c>
      <x:c r="B52" s="389" t="s">
        <x:v>288</x:v>
      </x:c>
      <x:c r="D52" s="390" t="s">
        <x:v>286</x:v>
      </x:c>
    </x:row>
    <x:row r="53" customHeight="1">
      <x:c r="A53" s="389">
        <x:v>3926909090</x:v>
      </x:c>
      <x:c r="B53" s="389" t="s">
        <x:v>289</x:v>
      </x:c>
      <x:c r="D53" s="390" t="s">
        <x:v>290</x:v>
      </x:c>
    </x:row>
    <x:row r="54" customHeight="1">
      <x:c r="A54" s="389">
        <x:v>5806320000</x:v>
      </x:c>
      <x:c r="B54" s="389" t="s">
        <x:v>291</x:v>
      </x:c>
      <x:c r="D54" s="390" t="s">
        <x:v>292</x:v>
      </x:c>
    </x:row>
    <x:row r="55" customHeight="1">
      <x:c r="A55" s="389">
        <x:v>5806320000</x:v>
      </x:c>
      <x:c r="B55" s="389" t="s">
        <x:v>293</x:v>
      </x:c>
      <x:c r="D55" s="390" t="s">
        <x:v>294</x:v>
      </x:c>
    </x:row>
    <x:row r="56" s="389" customFormat="1" customHeight="1">
      <x:c r="A56" s="389">
        <x:v>8479899990</x:v>
      </x:c>
      <x:c r="B56" s="389" t="s">
        <x:v>295</x:v>
      </x:c>
      <x:c r="D56" s="390" t="s">
        <x:v>264</x:v>
      </x:c>
    </x:row>
    <x:row r="57" s="389" customFormat="1" customHeight="1">
      <x:c r="A57" s="389">
        <x:v>5806109000</x:v>
      </x:c>
      <x:c r="B57" s="389" t="s">
        <x:v>296</x:v>
      </x:c>
      <x:c r="D57" s="390" t="s">
        <x:v>233</x:v>
      </x:c>
    </x:row>
    <x:row r="58" s="389" customFormat="1" customHeight="1">
      <x:c r="A58" s="389">
        <x:v>5806109000</x:v>
      </x:c>
      <x:c r="B58" s="389" t="s">
        <x:v>297</x:v>
      </x:c>
      <x:c r="D58" s="390" t="s">
        <x:v>233</x:v>
      </x:c>
    </x:row>
    <x:row r="59" s="389" customFormat="1" customHeight="1">
      <x:c r="A59" s="389">
        <x:v>5806109000</x:v>
      </x:c>
      <x:c r="B59" s="389" t="s">
        <x:v>298</x:v>
      </x:c>
      <x:c r="D59" s="390" t="s">
        <x:v>233</x:v>
      </x:c>
    </x:row>
    <x:row r="60" s="389" customFormat="1" customHeight="1">
      <x:c r="A60" s="389">
        <x:v>5806109000</x:v>
      </x:c>
      <x:c r="B60" s="389" t="s">
        <x:v>299</x:v>
      </x:c>
      <x:c r="D60" s="390" t="s">
        <x:v>233</x:v>
      </x:c>
    </x:row>
    <x:row r="61" s="389" customFormat="1" customHeight="1">
      <x:c r="A61" s="389">
        <x:v>5806109000</x:v>
      </x:c>
      <x:c r="B61" s="389" t="s">
        <x:v>300</x:v>
      </x:c>
      <x:c r="D61" s="390" t="s">
        <x:v>233</x:v>
      </x:c>
    </x:row>
    <x:row r="62" s="389" customFormat="1" customHeight="1">
      <x:c r="A62" s="389">
        <x:v>5806109000</x:v>
      </x:c>
      <x:c r="B62" s="389" t="s">
        <x:v>301</x:v>
      </x:c>
      <x:c r="D62" s="390" t="s">
        <x:v>233</x:v>
      </x:c>
    </x:row>
    <x:row r="63" s="389" customFormat="1" customHeight="1">
      <x:c r="A63" s="389">
        <x:v>5806109000</x:v>
      </x:c>
      <x:c r="B63" s="389" t="s">
        <x:v>302</x:v>
      </x:c>
      <x:c r="D63" s="390" t="s">
        <x:v>233</x:v>
      </x:c>
    </x:row>
    <x:row r="64" customHeight="1">
      <x:c r="A64" s="389">
        <x:v>5806109000</x:v>
      </x:c>
      <x:c r="B64" s="389" t="s">
        <x:v>303</x:v>
      </x:c>
      <x:c r="D64" s="390" t="s">
        <x:v>233</x:v>
      </x:c>
    </x:row>
    <x:row r="65" customHeight="1">
      <x:c r="A65" s="389">
        <x:v>5808100000</x:v>
      </x:c>
      <x:c r="B65" s="389" t="s">
        <x:v>304</x:v>
      </x:c>
      <x:c r="D65" s="390" t="s">
        <x:v>236</x:v>
      </x:c>
    </x:row>
    <x:row r="66" customHeight="1">
      <x:c r="A66" s="389">
        <x:v>5808100000</x:v>
      </x:c>
      <x:c r="B66" s="389" t="s">
        <x:v>305</x:v>
      </x:c>
      <x:c r="D66" s="390" t="s">
        <x:v>257</x:v>
      </x:c>
    </x:row>
    <x:row r="67" customHeight="1">
      <x:c r="A67" s="389">
        <x:v>5808100000</x:v>
      </x:c>
      <x:c r="B67" s="389" t="s">
        <x:v>306</x:v>
      </x:c>
      <x:c r="D67" s="390" t="s">
        <x:v>236</x:v>
      </x:c>
    </x:row>
    <x:row r="68" customHeight="1">
      <x:c r="A68" s="389">
        <x:v>5808100000</x:v>
      </x:c>
      <x:c r="B68" s="389" t="s">
        <x:v>307</x:v>
      </x:c>
      <x:c r="D68" s="390" t="s">
        <x:v>257</x:v>
      </x:c>
    </x:row>
    <x:row r="69" customHeight="1">
      <x:c r="A69" s="389">
        <x:v>5808100000</x:v>
      </x:c>
      <x:c r="B69" s="389" t="s">
        <x:v>308</x:v>
      </x:c>
      <x:c r="D69" s="390" t="s">
        <x:v>245</x:v>
      </x:c>
    </x:row>
    <x:row r="70" customHeight="1">
      <x:c r="A70" s="389">
        <x:v>7326909000</x:v>
      </x:c>
      <x:c r="B70" s="389" t="s">
        <x:v>309</x:v>
      </x:c>
      <x:c r="D70" s="390" t="s">
        <x:v>286</x:v>
      </x:c>
    </x:row>
    <x:row r="71" customHeight="1">
      <x:c r="A71" s="389">
        <x:v>7326909000</x:v>
      </x:c>
      <x:c r="B71" s="389" t="s">
        <x:v>310</x:v>
      </x:c>
      <x:c r="D71" s="390" t="s">
        <x:v>286</x:v>
      </x:c>
    </x:row>
    <x:row r="72" customHeight="1">
      <x:c r="A72" s="389">
        <x:v>8423819010</x:v>
      </x:c>
      <x:c r="B72" s="389" t="s">
        <x:v>311</x:v>
      </x:c>
      <x:c r="D72" s="390" t="s">
        <x:v>312</x:v>
      </x:c>
    </x:row>
    <x:row r="73" customHeight="1">
      <x:c r="A73" s="389">
        <x:v>3926909090</x:v>
      </x:c>
      <x:c r="B73" s="389" t="s">
        <x:v>313</x:v>
      </x:c>
      <x:c r="D73" s="390" t="s">
        <x:v>290</x:v>
      </x:c>
    </x:row>
    <x:row r="74" customHeight="1">
      <x:c r="A74" s="389">
        <x:v>3926909090</x:v>
      </x:c>
      <x:c r="B74" s="389" t="s">
        <x:v>314</x:v>
      </x:c>
      <x:c r="D74" s="390" t="s">
        <x:v>290</x:v>
      </x:c>
    </x:row>
    <x:row r="75" customHeight="1">
      <x:c r="A75" s="389">
        <x:v>3920430090</x:v>
      </x:c>
      <x:c r="B75" s="389" t="s">
        <x:v>315</x:v>
      </x:c>
      <x:c r="D75" s="390" t="s">
        <x:v>316</x:v>
      </x:c>
    </x:row>
    <x:row r="76" customHeight="1">
      <x:c r="A76" s="389">
        <x:v>5401101000</x:v>
      </x:c>
      <x:c r="B76" s="389" t="s">
        <x:v>317</x:v>
      </x:c>
      <x:c r="D76" s="390" t="s">
        <x:v>318</x:v>
      </x:c>
    </x:row>
    <x:row r="77" customHeight="1">
      <x:c r="A77" s="389">
        <x:v>5401101000</x:v>
      </x:c>
      <x:c r="B77" s="389" t="s">
        <x:v>319</x:v>
      </x:c>
      <x:c r="D77" s="390" t="s">
        <x:v>318</x:v>
      </x:c>
    </x:row>
    <x:row r="78" customHeight="1">
      <x:c r="A78" s="389">
        <x:v>5401101000</x:v>
      </x:c>
      <x:c r="B78" s="389" t="s">
        <x:v>320</x:v>
      </x:c>
      <x:c r="D78" s="390" t="s">
        <x:v>318</x:v>
      </x:c>
    </x:row>
    <x:row r="79" customHeight="1">
      <x:c r="A79" s="389">
        <x:v>5401101000</x:v>
      </x:c>
      <x:c r="B79" s="389" t="s">
        <x:v>321</x:v>
      </x:c>
      <x:c r="D79" s="390" t="s">
        <x:v>318</x:v>
      </x:c>
    </x:row>
    <x:row r="80" customHeight="1">
      <x:c r="A80" s="389">
        <x:v>5401101000</x:v>
      </x:c>
      <x:c r="B80" s="389" t="s">
        <x:v>322</x:v>
      </x:c>
      <x:c r="D80" s="390" t="s">
        <x:v>318</x:v>
      </x:c>
    </x:row>
    <x:row r="81" customHeight="1">
      <x:c r="A81" s="389">
        <x:v>5401101000</x:v>
      </x:c>
      <x:c r="B81" s="389" t="s">
        <x:v>323</x:v>
      </x:c>
      <x:c r="D81" s="390" t="s">
        <x:v>324</x:v>
      </x:c>
    </x:row>
    <x:row r="82" customHeight="1">
      <x:c r="A82" s="389">
        <x:v>5401101000</x:v>
      </x:c>
      <x:c r="B82" s="389" t="s">
        <x:v>325</x:v>
      </x:c>
      <x:c r="D82" s="390" t="s">
        <x:v>326</x:v>
      </x:c>
    </x:row>
    <x:row r="83" customHeight="1">
      <x:c r="A83" s="389">
        <x:v>5401101000</x:v>
      </x:c>
      <x:c r="B83" s="389" t="s">
        <x:v>327</x:v>
      </x:c>
      <x:c r="D83" s="390" t="s">
        <x:v>328</x:v>
      </x:c>
    </x:row>
    <x:row r="84" customHeight="1">
      <x:c r="A84" s="389">
        <x:v>5401101000</x:v>
      </x:c>
      <x:c r="B84" s="389" t="s">
        <x:v>329</x:v>
      </x:c>
      <x:c r="D84" s="390" t="s">
        <x:v>318</x:v>
      </x:c>
    </x:row>
    <x:row r="85" customHeight="1">
      <x:c r="A85" s="389">
        <x:v>5401101000</x:v>
      </x:c>
      <x:c r="B85" s="389" t="s">
        <x:v>330</x:v>
      </x:c>
      <x:c r="D85" s="390" t="s">
        <x:v>331</x:v>
      </x:c>
    </x:row>
    <x:row r="86" customHeight="1">
      <x:c r="A86" s="389">
        <x:v>5401101000</x:v>
      </x:c>
      <x:c r="B86" s="389" t="s">
        <x:v>332</x:v>
      </x:c>
      <x:c r="D86" s="390" t="s">
        <x:v>324</x:v>
      </x:c>
    </x:row>
    <x:row r="87" customHeight="1">
      <x:c r="A87" s="389">
        <x:v>5401101000</x:v>
      </x:c>
      <x:c r="B87" s="389" t="s">
        <x:v>333</x:v>
      </x:c>
      <x:c r="D87" s="390" t="s">
        <x:v>334</x:v>
      </x:c>
    </x:row>
    <x:row r="88" customHeight="1">
      <x:c r="A88" s="389">
        <x:v>5401101000</x:v>
      </x:c>
      <x:c r="B88" s="389" t="s">
        <x:v>335</x:v>
      </x:c>
      <x:c r="D88" s="390" t="s">
        <x:v>318</x:v>
      </x:c>
    </x:row>
    <x:row r="89" customHeight="1">
      <x:c r="A89" s="389">
        <x:v>5401101000</x:v>
      </x:c>
      <x:c r="B89" s="389" t="s">
        <x:v>336</x:v>
      </x:c>
      <x:c r="D89" s="390" t="s">
        <x:v>337</x:v>
      </x:c>
    </x:row>
    <x:row r="90" s="389" customFormat="1" customHeight="1">
      <x:c r="A90" s="391">
        <x:v>5401101000</x:v>
      </x:c>
      <x:c r="B90" s="392" t="s">
        <x:v>338</x:v>
      </x:c>
      <x:c r="C90" s="392"/>
      <x:c r="D90" s="393" t="s">
        <x:v>318</x:v>
      </x:c>
    </x:row>
    <x:row r="91" s="389" customFormat="1" customHeight="1">
      <x:c r="A91" s="389">
        <x:v>5401101000</x:v>
      </x:c>
      <x:c r="B91" s="389" t="s">
        <x:v>339</x:v>
      </x:c>
      <x:c r="D91" s="390" t="s">
        <x:v>318</x:v>
      </x:c>
    </x:row>
    <x:row r="92" s="389" customFormat="1" customHeight="1">
      <x:c r="A92" s="389">
        <x:v>5401101000</x:v>
      </x:c>
      <x:c r="B92" s="389" t="s">
        <x:v>340</x:v>
      </x:c>
      <x:c r="D92" s="390" t="s">
        <x:v>324</x:v>
      </x:c>
    </x:row>
    <x:row r="93" s="389" customFormat="1" customHeight="1">
      <x:c r="A93" s="389">
        <x:v>5401101000</x:v>
      </x:c>
      <x:c r="B93" s="389" t="s">
        <x:v>341</x:v>
      </x:c>
      <x:c r="D93" s="390" t="s">
        <x:v>318</x:v>
      </x:c>
    </x:row>
    <x:row r="94" s="389" customFormat="1" customHeight="1">
      <x:c r="A94" s="389">
        <x:v>5401101000</x:v>
      </x:c>
      <x:c r="B94" s="389" t="s">
        <x:v>342</x:v>
      </x:c>
      <x:c r="D94" s="390" t="s">
        <x:v>318</x:v>
      </x:c>
    </x:row>
    <x:row r="95" s="389" customFormat="1" customHeight="1">
      <x:c r="A95" s="389">
        <x:v>5401101000</x:v>
      </x:c>
      <x:c r="B95" s="389" t="s">
        <x:v>343</x:v>
      </x:c>
      <x:c r="D95" s="390" t="s">
        <x:v>318</x:v>
      </x:c>
    </x:row>
    <x:row r="96" s="389" customFormat="1" customHeight="1">
      <x:c r="A96" s="391">
        <x:v>5401101000</x:v>
      </x:c>
      <x:c r="B96" s="392" t="s">
        <x:v>344</x:v>
      </x:c>
      <x:c r="C96" s="392"/>
      <x:c r="D96" s="393" t="s">
        <x:v>318</x:v>
      </x:c>
    </x:row>
    <x:row r="97" s="389" customFormat="1" customHeight="1">
      <x:c r="A97" s="389">
        <x:v>5401101000</x:v>
      </x:c>
      <x:c r="B97" s="389" t="s">
        <x:v>345</x:v>
      </x:c>
      <x:c r="D97" s="390" t="s">
        <x:v>318</x:v>
      </x:c>
    </x:row>
    <x:row r="98" s="389" customFormat="1" customHeight="1">
      <x:c r="A98" s="389">
        <x:v>5401101000</x:v>
      </x:c>
      <x:c r="B98" s="389" t="s">
        <x:v>346</x:v>
      </x:c>
      <x:c r="D98" s="390" t="s">
        <x:v>318</x:v>
      </x:c>
    </x:row>
    <x:row r="99" s="389" customFormat="1" customHeight="1">
      <x:c r="A99" s="389">
        <x:v>5401101000</x:v>
      </x:c>
      <x:c r="B99" s="389" t="s">
        <x:v>347</x:v>
      </x:c>
      <x:c r="D99" s="390" t="s">
        <x:v>334</x:v>
      </x:c>
    </x:row>
    <x:row r="100" s="389" customFormat="1" customHeight="1">
      <x:c r="A100" s="391">
        <x:v>5401101000</x:v>
      </x:c>
      <x:c r="B100" s="392" t="s">
        <x:v>348</x:v>
      </x:c>
      <x:c r="C100" s="392"/>
      <x:c r="D100" s="393" t="s">
        <x:v>318</x:v>
      </x:c>
    </x:row>
    <x:row r="101" s="389" customFormat="1" customHeight="1">
      <x:c r="A101" s="389">
        <x:v>5401101000</x:v>
      </x:c>
      <x:c r="B101" s="389" t="s">
        <x:v>349</x:v>
      </x:c>
      <x:c r="D101" s="390" t="s">
        <x:v>318</x:v>
      </x:c>
    </x:row>
    <x:row r="102" s="389" customFormat="1" customHeight="1">
      <x:c r="A102" s="389">
        <x:v>5401101000</x:v>
      </x:c>
      <x:c r="B102" s="389" t="s">
        <x:v>350</x:v>
      </x:c>
      <x:c r="D102" s="390" t="s">
        <x:v>337</x:v>
      </x:c>
    </x:row>
    <x:row r="103" customHeight="1">
      <x:c r="A103" s="389">
        <x:v>5808100000</x:v>
      </x:c>
      <x:c r="B103" s="389" t="s">
        <x:v>351</x:v>
      </x:c>
      <x:c r="D103" s="390" t="s">
        <x:v>245</x:v>
      </x:c>
    </x:row>
    <x:row r="104" customHeight="1">
      <x:c r="A104" s="389">
        <x:v>5808100000</x:v>
      </x:c>
      <x:c r="B104" s="389" t="s">
        <x:v>352</x:v>
      </x:c>
      <x:c r="D104" s="390" t="s">
        <x:v>245</x:v>
      </x:c>
    </x:row>
    <x:row r="105" customHeight="1">
      <x:c r="A105" s="389">
        <x:v>5808100000</x:v>
      </x:c>
      <x:c r="B105" s="389" t="s">
        <x:v>353</x:v>
      </x:c>
      <x:c r="D105" s="390" t="s">
        <x:v>245</x:v>
      </x:c>
    </x:row>
    <x:row r="106" customHeight="1">
      <x:c r="A106" s="389">
        <x:v>5808100000</x:v>
      </x:c>
      <x:c r="B106" s="389" t="s">
        <x:v>354</x:v>
      </x:c>
      <x:c r="D106" s="390" t="s">
        <x:v>245</x:v>
      </x:c>
    </x:row>
    <x:row r="107" customHeight="1">
      <x:c r="A107" s="389">
        <x:v>5808100000</x:v>
      </x:c>
      <x:c r="B107" s="389" t="s">
        <x:v>355</x:v>
      </x:c>
      <x:c r="D107" s="390" t="s">
        <x:v>245</x:v>
      </x:c>
    </x:row>
    <x:row r="108" customHeight="1">
      <x:c r="A108" s="389">
        <x:v>5808100000</x:v>
      </x:c>
      <x:c r="B108" s="389" t="s">
        <x:v>356</x:v>
      </x:c>
      <x:c r="D108" s="390" t="s">
        <x:v>236</x:v>
      </x:c>
    </x:row>
    <x:row r="109" customHeight="1">
      <x:c r="A109" s="389">
        <x:v>5808100000</x:v>
      </x:c>
      <x:c r="B109" s="389" t="s">
        <x:v>357</x:v>
      </x:c>
      <x:c r="D109" s="390" t="s">
        <x:v>245</x:v>
      </x:c>
    </x:row>
    <x:row r="110" customHeight="1">
      <x:c r="A110" s="389">
        <x:v>5808100000</x:v>
      </x:c>
      <x:c r="B110" s="389" t="s">
        <x:v>358</x:v>
      </x:c>
      <x:c r="D110" s="390" t="s">
        <x:v>245</x:v>
      </x:c>
    </x:row>
    <x:row r="111" customHeight="1">
      <x:c r="A111" s="389">
        <x:v>5808100000</x:v>
      </x:c>
      <x:c r="B111" s="389" t="s">
        <x:v>359</x:v>
      </x:c>
      <x:c r="D111" s="390" t="s">
        <x:v>245</x:v>
      </x:c>
    </x:row>
    <x:row r="112" customHeight="1">
      <x:c r="A112" s="389">
        <x:v>3926909090</x:v>
      </x:c>
      <x:c r="B112" s="389" t="s">
        <x:v>360</x:v>
      </x:c>
      <x:c r="D112" s="390" t="s">
        <x:v>361</x:v>
      </x:c>
    </x:row>
    <x:row r="113" customHeight="1">
      <x:c r="A113" s="389">
        <x:v>5806320000</x:v>
      </x:c>
      <x:c r="B113" s="389" t="s">
        <x:v>362</x:v>
      </x:c>
      <x:c r="D113" s="390" t="s">
        <x:v>245</x:v>
      </x:c>
    </x:row>
    <x:row r="114" customHeight="1">
      <x:c r="A114" s="389">
        <x:v>5806320000</x:v>
      </x:c>
      <x:c r="B114" s="389" t="s">
        <x:v>363</x:v>
      </x:c>
      <x:c r="D114" s="390" t="s">
        <x:v>245</x:v>
      </x:c>
    </x:row>
    <x:row r="115" customHeight="1">
      <x:c r="A115" s="389">
        <x:v>5806320000</x:v>
      </x:c>
      <x:c r="B115" s="389" t="s">
        <x:v>364</x:v>
      </x:c>
      <x:c r="D115" s="390" t="s">
        <x:v>245</x:v>
      </x:c>
    </x:row>
    <x:row r="116" customHeight="1">
      <x:c r="A116" s="389">
        <x:v>5401101000</x:v>
      </x:c>
      <x:c r="B116" s="389" t="s">
        <x:v>365</x:v>
      </x:c>
      <x:c r="D116" s="390" t="s">
        <x:v>324</x:v>
      </x:c>
    </x:row>
    <x:row r="117" s="389" customFormat="1" customHeight="1">
      <x:c r="A117" s="389">
        <x:v>5401101000</x:v>
      </x:c>
      <x:c r="B117" s="389" t="s">
        <x:v>366</x:v>
      </x:c>
      <x:c r="D117" s="390" t="s">
        <x:v>324</x:v>
      </x:c>
    </x:row>
    <x:row r="118" customHeight="1">
      <x:c r="A118" s="389">
        <x:v>5401101000</x:v>
      </x:c>
      <x:c r="B118" s="389" t="s">
        <x:v>367</x:v>
      </x:c>
      <x:c r="D118" s="390" t="s">
        <x:v>324</x:v>
      </x:c>
    </x:row>
    <x:row r="119" customHeight="1">
      <x:c r="A119" s="389">
        <x:v>5401101000</x:v>
      </x:c>
      <x:c r="B119" s="389" t="s">
        <x:v>368</x:v>
      </x:c>
      <x:c r="D119" s="390" t="s">
        <x:v>318</x:v>
      </x:c>
    </x:row>
    <x:row r="120" customHeight="1">
      <x:c r="A120" s="391">
        <x:v>5401101000</x:v>
      </x:c>
      <x:c r="B120" s="392" t="s">
        <x:v>369</x:v>
      </x:c>
      <x:c r="C120" s="392"/>
      <x:c r="D120" s="393" t="s">
        <x:v>318</x:v>
      </x:c>
    </x:row>
    <x:row r="121" s="389" customFormat="1" customHeight="1">
      <x:c r="A121" s="389">
        <x:v>5401101000</x:v>
      </x:c>
      <x:c r="B121" s="389" t="s">
        <x:v>370</x:v>
      </x:c>
      <x:c r="D121" s="390" t="s">
        <x:v>324</x:v>
      </x:c>
    </x:row>
    <x:row r="122" customHeight="1">
      <x:c r="A122" s="391">
        <x:v>5401101000</x:v>
      </x:c>
      <x:c r="B122" s="392" t="s">
        <x:v>371</x:v>
      </x:c>
      <x:c r="C122" s="392"/>
      <x:c r="D122" s="393" t="s">
        <x:v>318</x:v>
      </x:c>
    </x:row>
    <x:row r="123" customHeight="1">
      <x:c r="A123" s="391">
        <x:v>5401101000</x:v>
      </x:c>
      <x:c r="B123" s="392" t="s">
        <x:v>372</x:v>
      </x:c>
      <x:c r="C123" s="392"/>
      <x:c r="D123" s="393" t="s">
        <x:v>318</x:v>
      </x:c>
    </x:row>
    <x:row r="124" customHeight="1">
      <x:c r="A124" s="389">
        <x:v>5401101000</x:v>
      </x:c>
      <x:c r="B124" s="389" t="s">
        <x:v>373</x:v>
      </x:c>
      <x:c r="D124" s="390" t="s">
        <x:v>324</x:v>
      </x:c>
    </x:row>
    <x:row r="125" customHeight="1">
      <x:c r="A125" s="389">
        <x:v>5401101000</x:v>
      </x:c>
      <x:c r="B125" s="389" t="s">
        <x:v>374</x:v>
      </x:c>
      <x:c r="D125" s="390" t="s">
        <x:v>324</x:v>
      </x:c>
    </x:row>
    <x:row r="126" customHeight="1">
      <x:c r="A126" s="389">
        <x:v>5401101000</x:v>
      </x:c>
      <x:c r="B126" s="389" t="s">
        <x:v>375</x:v>
      </x:c>
      <x:c r="D126" s="390" t="s">
        <x:v>324</x:v>
      </x:c>
    </x:row>
    <x:row r="127" customHeight="1">
      <x:c r="A127" s="391">
        <x:v>5401101000</x:v>
      </x:c>
      <x:c r="B127" s="392" t="s">
        <x:v>376</x:v>
      </x:c>
      <x:c r="C127" s="392"/>
      <x:c r="D127" s="393" t="s">
        <x:v>318</x:v>
      </x:c>
    </x:row>
    <x:row r="128" customHeight="1">
      <x:c r="A128" s="391">
        <x:v>5401101000</x:v>
      </x:c>
      <x:c r="B128" s="392" t="s">
        <x:v>377</x:v>
      </x:c>
      <x:c r="C128" s="392"/>
      <x:c r="D128" s="393" t="s">
        <x:v>318</x:v>
      </x:c>
    </x:row>
    <x:row r="129" customHeight="1">
      <x:c r="A129" s="389">
        <x:v>5401101000</x:v>
      </x:c>
      <x:c r="B129" s="389" t="s">
        <x:v>378</x:v>
      </x:c>
      <x:c r="D129" s="390" t="s">
        <x:v>324</x:v>
      </x:c>
    </x:row>
    <x:row r="130" customHeight="1">
      <x:c r="A130" s="391">
        <x:v>8459699000</x:v>
      </x:c>
      <x:c r="B130" s="392" t="s">
        <x:v>379</x:v>
      </x:c>
      <x:c r="C130" s="392"/>
      <x:c r="D130" s="393" t="s">
        <x:v>380</x:v>
      </x:c>
    </x:row>
    <x:row r="131" customHeight="1">
      <x:c r="A131" s="391">
        <x:v>8459699000</x:v>
      </x:c>
      <x:c r="B131" s="392" t="s">
        <x:v>381</x:v>
      </x:c>
      <x:c r="C131" s="392"/>
      <x:c r="D131" s="393" t="s">
        <x:v>380</x:v>
      </x:c>
    </x:row>
    <x:row r="132" customHeight="1">
      <x:c r="A132" s="391">
        <x:v>8506109010</x:v>
      </x:c>
      <x:c r="B132" s="392" t="s">
        <x:v>382</x:v>
      </x:c>
      <x:c r="C132" s="392"/>
      <x:c r="D132" s="394" t="s">
        <x:v>383</x:v>
      </x:c>
    </x:row>
    <x:row r="133" customHeight="1">
      <x:c r="A133" s="389">
        <x:v>3923900000</x:v>
      </x:c>
      <x:c r="B133" s="389" t="s">
        <x:v>384</x:v>
      </x:c>
      <x:c r="D133" s="390" t="s">
        <x:v>385</x:v>
      </x:c>
    </x:row>
    <x:row r="134" customHeight="1">
      <x:c r="A134" s="389">
        <x:v>3921199090</x:v>
      </x:c>
      <x:c r="B134" s="389" t="s">
        <x:v>386</x:v>
      </x:c>
      <x:c r="D134" s="390" t="s">
        <x:v>387</x:v>
      </x:c>
    </x:row>
    <x:row r="135" customHeight="1">
      <x:c r="A135" s="389">
        <x:v>3923900000</x:v>
      </x:c>
      <x:c r="B135" s="389" t="s">
        <x:v>388</x:v>
      </x:c>
      <x:c r="D135" s="390" t="s">
        <x:v>385</x:v>
      </x:c>
    </x:row>
    <x:row r="136" customHeight="1">
      <x:c r="A136" s="391">
        <x:v>8506109010</x:v>
      </x:c>
      <x:c r="B136" s="392" t="s">
        <x:v>389</x:v>
      </x:c>
      <x:c r="C136" s="392"/>
      <x:c r="D136" s="393" t="s">
        <x:v>390</x:v>
      </x:c>
    </x:row>
    <x:row r="137" customHeight="1">
      <x:c r="A137" s="389">
        <x:v>8506109010</x:v>
      </x:c>
      <x:c r="B137" s="389" t="s">
        <x:v>391</x:v>
      </x:c>
      <x:c r="D137" s="390" t="s">
        <x:v>392</x:v>
      </x:c>
    </x:row>
    <x:row r="138" customHeight="1">
      <x:c r="A138" s="389">
        <x:v>8506101210</x:v>
      </x:c>
      <x:c r="B138" s="389" t="s">
        <x:v>393</x:v>
      </x:c>
      <x:c r="D138" s="390" t="s">
        <x:v>394</x:v>
      </x:c>
    </x:row>
    <x:row r="139" customHeight="1">
      <x:c r="A139" s="389">
        <x:v>3923900000</x:v>
      </x:c>
      <x:c r="B139" s="389" t="s">
        <x:v>395</x:v>
      </x:c>
      <x:c r="D139" s="390" t="s">
        <x:v>290</x:v>
      </x:c>
    </x:row>
    <x:row r="140" customHeight="1">
      <x:c r="A140" s="391">
        <x:v>4911101000</x:v>
      </x:c>
      <x:c r="B140" s="392" t="s">
        <x:v>396</x:v>
      </x:c>
      <x:c r="C140" s="392"/>
      <x:c r="D140" s="394" t="s">
        <x:v>397</x:v>
      </x:c>
    </x:row>
    <x:row r="141" customHeight="1">
      <x:c r="A141" s="391">
        <x:v>4911101000</x:v>
      </x:c>
      <x:c r="B141" s="392" t="s">
        <x:v>398</x:v>
      </x:c>
      <x:c r="C141" s="392"/>
      <x:c r="D141" s="393" t="s">
        <x:v>397</x:v>
      </x:c>
    </x:row>
    <x:row r="142" customHeight="1">
      <x:c r="A142" s="389">
        <x:v>4007000000</x:v>
      </x:c>
      <x:c r="B142" s="389" t="s">
        <x:v>399</x:v>
      </x:c>
      <x:c r="D142" s="390" t="s">
        <x:v>400</x:v>
      </x:c>
    </x:row>
    <x:row r="143" customHeight="1">
      <x:c r="A143" s="389">
        <x:v>3923900000</x:v>
      </x:c>
      <x:c r="B143" s="389" t="s">
        <x:v>401</x:v>
      </x:c>
      <x:c r="D143" s="390" t="s">
        <x:v>290</x:v>
      </x:c>
    </x:row>
    <x:row r="144" customHeight="1">
      <x:c r="A144" s="391">
        <x:v>4819200000</x:v>
      </x:c>
      <x:c r="B144" s="392" t="s">
        <x:v>402</x:v>
      </x:c>
      <x:c r="C144" s="392"/>
      <x:c r="D144" s="393" t="s">
        <x:v>266</x:v>
      </x:c>
    </x:row>
    <x:row r="145" customHeight="1">
      <x:c r="A145" s="389">
        <x:v>3923900000</x:v>
      </x:c>
      <x:c r="B145" s="389" t="s">
        <x:v>403</x:v>
      </x:c>
      <x:c r="D145" s="390" t="s">
        <x:v>290</x:v>
      </x:c>
    </x:row>
    <x:row r="146" customHeight="1">
      <x:c r="A146" s="389">
        <x:v>7326909000</x:v>
      </x:c>
      <x:c r="B146" s="389" t="s">
        <x:v>404</x:v>
      </x:c>
      <x:c r="D146" s="390" t="s">
        <x:v>405</x:v>
      </x:c>
    </x:row>
    <x:row r="147" customHeight="1">
      <x:c r="A147" s="389">
        <x:v>9503009000</x:v>
      </x:c>
      <x:c r="B147" s="389" t="s">
        <x:v>406</x:v>
      </x:c>
      <x:c r="D147" s="390" t="s">
        <x:v>407</x:v>
      </x:c>
    </x:row>
    <x:row r="148" customHeight="1">
      <x:c r="A148" s="389">
        <x:v>3926909090</x:v>
      </x:c>
      <x:c r="B148" s="389" t="s">
        <x:v>408</x:v>
      </x:c>
      <x:c r="D148" s="390" t="s">
        <x:v>290</x:v>
      </x:c>
    </x:row>
    <x:row r="149" s="389" customFormat="1" customHeight="1">
      <x:c r="A149" s="389">
        <x:v>9503009000</x:v>
      </x:c>
      <x:c r="B149" s="389" t="s">
        <x:v>409</x:v>
      </x:c>
      <x:c r="D149" s="390" t="s">
        <x:v>407</x:v>
      </x:c>
    </x:row>
    <x:row r="150" s="389" customFormat="1" customHeight="1">
      <x:c r="A150" s="389">
        <x:v>9503009000</x:v>
      </x:c>
      <x:c r="B150" s="389" t="s">
        <x:v>410</x:v>
      </x:c>
      <x:c r="D150" s="390" t="s">
        <x:v>407</x:v>
      </x:c>
    </x:row>
    <x:row r="151" customHeight="1">
      <x:c r="A151" s="389">
        <x:v>4911101000</x:v>
      </x:c>
      <x:c r="B151" s="389" t="s">
        <x:v>411</x:v>
      </x:c>
      <x:c r="D151" s="390" t="s">
        <x:v>397</x:v>
      </x:c>
    </x:row>
    <x:row r="152" customHeight="1">
      <x:c r="A152" s="389">
        <x:v>8480790000</x:v>
      </x:c>
      <x:c r="B152" s="389" t="s">
        <x:v>412</x:v>
      </x:c>
      <x:c r="D152" s="390" t="s">
        <x:v>413</x:v>
      </x:c>
    </x:row>
    <x:row r="153" customHeight="1">
      <x:c r="A153" s="389">
        <x:v>4911101000</x:v>
      </x:c>
      <x:c r="B153" s="389" t="s">
        <x:v>414</x:v>
      </x:c>
      <x:c r="D153" s="390" t="s">
        <x:v>397</x:v>
      </x:c>
    </x:row>
    <x:row r="154" customHeight="1">
      <x:c r="A154" s="389">
        <x:v>7326909000</x:v>
      </x:c>
      <x:c r="B154" s="389" t="s">
        <x:v>415</x:v>
      </x:c>
      <x:c r="D154" s="390" t="s">
        <x:v>416</x:v>
      </x:c>
    </x:row>
    <x:row r="155" customHeight="1">
      <x:c r="A155" s="389">
        <x:v>7326909000</x:v>
      </x:c>
      <x:c r="B155" s="389" t="s">
        <x:v>417</x:v>
      </x:c>
      <x:c r="D155" s="390" t="s">
        <x:v>418</x:v>
      </x:c>
    </x:row>
    <x:row r="156" customHeight="1">
      <x:c r="A156" s="389">
        <x:v>8480790000</x:v>
      </x:c>
      <x:c r="B156" s="389" t="s">
        <x:v>419</x:v>
      </x:c>
      <x:c r="D156" s="390" t="s">
        <x:v>420</x:v>
      </x:c>
    </x:row>
    <x:row r="157" customHeight="1">
      <x:c r="A157" s="389">
        <x:v>7326909000</x:v>
      </x:c>
      <x:c r="B157" s="389" t="s">
        <x:v>421</x:v>
      </x:c>
      <x:c r="D157" s="390" t="s">
        <x:v>418</x:v>
      </x:c>
    </x:row>
    <x:row r="158" customHeight="1">
      <x:c r="A158" s="389">
        <x:v>8480790000</x:v>
      </x:c>
      <x:c r="B158" s="389" t="s">
        <x:v>422</x:v>
      </x:c>
      <x:c r="D158" s="390" t="s">
        <x:v>420</x:v>
      </x:c>
    </x:row>
    <x:row r="159" customHeight="1">
      <x:c r="A159" s="389">
        <x:v>7326909000</x:v>
      </x:c>
      <x:c r="B159" s="389" t="s">
        <x:v>423</x:v>
      </x:c>
      <x:c r="D159" s="390" t="s">
        <x:v>418</x:v>
      </x:c>
    </x:row>
    <x:row r="160" customHeight="1">
      <x:c r="A160" s="389">
        <x:v>8480790000</x:v>
      </x:c>
      <x:c r="B160" s="389" t="s">
        <x:v>424</x:v>
      </x:c>
      <x:c r="D160" s="390" t="s">
        <x:v>420</x:v>
      </x:c>
    </x:row>
    <x:row r="161" customHeight="1">
      <x:c r="A161" s="389">
        <x:v>732690900</x:v>
      </x:c>
      <x:c r="B161" s="389" t="s">
        <x:v>425</x:v>
      </x:c>
      <x:c r="D161" s="390" t="s">
        <x:v>426</x:v>
      </x:c>
    </x:row>
    <x:row r="162" customHeight="1">
      <x:c r="A162" s="389">
        <x:v>3926909090</x:v>
      </x:c>
      <x:c r="B162" s="389" t="s">
        <x:v>427</x:v>
      </x:c>
      <x:c r="D162" s="390" t="s">
        <x:v>290</x:v>
      </x:c>
    </x:row>
    <x:row r="163" customHeight="1">
      <x:c r="A163" s="389">
        <x:v>9503009000</x:v>
      </x:c>
      <x:c r="B163" s="389" t="s">
        <x:v>428</x:v>
      </x:c>
      <x:c r="D163" s="390" t="s">
        <x:v>429</x:v>
      </x:c>
    </x:row>
    <x:row r="164" customHeight="1">
      <x:c r="A164" s="389">
        <x:v>8480790000</x:v>
      </x:c>
      <x:c r="B164" s="389" t="s">
        <x:v>430</x:v>
      </x:c>
    </x:row>
    <x:row r="165" customHeight="1">
      <x:c r="A165" s="389">
        <x:v>8480790000</x:v>
      </x:c>
      <x:c r="B165" s="389" t="s">
        <x:v>431</x:v>
      </x:c>
    </x:row>
    <x:row r="166" customHeight="1">
      <x:c r="A166" s="389">
        <x:v>4819100000</x:v>
      </x:c>
      <x:c r="B166" s="389" t="s">
        <x:v>432</x:v>
      </x:c>
      <x:c r="D166" s="390" t="s">
        <x:v>266</x:v>
      </x:c>
    </x:row>
    <x:row r="167" customHeight="1">
      <x:c r="A167" s="389">
        <x:v>4819100000</x:v>
      </x:c>
      <x:c r="B167" s="389" t="s">
        <x:v>433</x:v>
      </x:c>
      <x:c r="D167" s="390" t="s">
        <x:v>266</x:v>
      </x:c>
    </x:row>
    <x:row r="168" customHeight="1">
      <x:c r="A168" s="389">
        <x:v>3926909090</x:v>
      </x:c>
      <x:c r="B168" s="389" t="s">
        <x:v>434</x:v>
      </x:c>
      <x:c r="D168" s="390" t="s">
        <x:v>290</x:v>
      </x:c>
    </x:row>
    <x:row r="169" customHeight="1">
      <x:c r="A169" s="389">
        <x:v>3923210000</x:v>
      </x:c>
      <x:c r="B169" s="389" t="s">
        <x:v>435</x:v>
      </x:c>
      <x:c r="D169" s="390" t="s">
        <x:v>385</x:v>
      </x:c>
    </x:row>
    <x:row r="170" customHeight="1">
      <x:c r="A170" s="391">
        <x:v>7318159090</x:v>
      </x:c>
      <x:c r="B170" s="392" t="s">
        <x:v>436</x:v>
      </x:c>
      <x:c r="C170" s="392"/>
      <x:c r="D170" s="394" t="s">
        <x:v>437</x:v>
      </x:c>
    </x:row>
    <x:row r="171" customHeight="1">
      <x:c r="A171" s="391">
        <x:v>7318159090</x:v>
      </x:c>
      <x:c r="B171" s="392" t="s">
        <x:v>438</x:v>
      </x:c>
      <x:c r="C171" s="392"/>
      <x:c r="D171" s="394" t="s">
        <x:v>437</x:v>
      </x:c>
    </x:row>
    <x:row r="172" customHeight="1">
      <x:c r="A172" s="391">
        <x:v>7318159090</x:v>
      </x:c>
      <x:c r="B172" s="392" t="s">
        <x:v>439</x:v>
      </x:c>
      <x:c r="C172" s="392"/>
      <x:c r="D172" s="394" t="s">
        <x:v>437</x:v>
      </x:c>
    </x:row>
    <x:row r="173" s="389" customFormat="1" customHeight="1">
      <x:c r="A173" s="389">
        <x:v>7326909000</x:v>
      </x:c>
      <x:c r="B173" s="389" t="s">
        <x:v>440</x:v>
      </x:c>
      <x:c r="D173" s="390" t="s">
        <x:v>405</x:v>
      </x:c>
    </x:row>
    <x:row r="174" customHeight="1">
      <x:c r="A174" s="389">
        <x:v>8480790000</x:v>
      </x:c>
      <x:c r="B174" s="389" t="s">
        <x:v>441</x:v>
      </x:c>
      <x:c r="D174" s="390" t="s">
        <x:v>413</x:v>
      </x:c>
    </x:row>
    <x:row r="175" customHeight="1">
      <x:c r="A175" s="389">
        <x:v>9031809090</x:v>
      </x:c>
      <x:c r="B175" s="389" t="s">
        <x:v>442</x:v>
      </x:c>
      <x:c r="D175" s="390" t="s">
        <x:v>443</x:v>
      </x:c>
    </x:row>
    <x:row r="176" customHeight="1">
      <x:c r="A176" s="391">
        <x:v>4821100000</x:v>
      </x:c>
      <x:c r="B176" s="392" t="s">
        <x:v>444</x:v>
      </x:c>
      <x:c r="C176" s="392"/>
      <x:c r="D176" s="393" t="s">
        <x:v>445</x:v>
      </x:c>
    </x:row>
    <x:row r="177" customHeight="1">
      <x:c r="A177" s="391">
        <x:v>3923210000</x:v>
      </x:c>
      <x:c r="B177" s="392" t="s">
        <x:v>446</x:v>
      </x:c>
      <x:c r="C177" s="392"/>
      <x:c r="D177" s="393" t="s">
        <x:v>447</x:v>
      </x:c>
    </x:row>
    <x:row r="178" customHeight="1">
      <x:c r="A178" s="389">
        <x:v>3926909090</x:v>
      </x:c>
      <x:c r="B178" s="389" t="s">
        <x:v>448</x:v>
      </x:c>
      <x:c r="D178" s="390" t="s">
        <x:v>449</x:v>
      </x:c>
    </x:row>
    <x:row r="179" customHeight="1">
      <x:c r="A179" s="391">
        <x:v>3923210000</x:v>
      </x:c>
      <x:c r="B179" s="392" t="s">
        <x:v>450</x:v>
      </x:c>
      <x:c r="C179" s="392"/>
      <x:c r="D179" s="393" t="s">
        <x:v>447</x:v>
      </x:c>
    </x:row>
    <x:row r="180" customHeight="1">
      <x:c r="A180" s="391">
        <x:v>3923210000</x:v>
      </x:c>
      <x:c r="B180" s="392" t="s">
        <x:v>451</x:v>
      </x:c>
      <x:c r="C180" s="392"/>
      <x:c r="D180" s="393" t="s">
        <x:v>447</x:v>
      </x:c>
    </x:row>
    <x:row r="181" customHeight="1">
      <x:c r="A181" s="389">
        <x:v>3923210000</x:v>
      </x:c>
      <x:c r="B181" s="389" t="s">
        <x:v>452</x:v>
      </x:c>
      <x:c r="D181" s="390" t="s">
        <x:v>453</x:v>
      </x:c>
    </x:row>
    <x:row r="182" customHeight="1">
      <x:c r="A182" s="389">
        <x:v>3920999090</x:v>
      </x:c>
      <x:c r="B182" s="389" t="s">
        <x:v>454</x:v>
      </x:c>
      <x:c r="D182" s="390" t="s">
        <x:v>455</x:v>
      </x:c>
    </x:row>
    <x:row r="183" customHeight="1">
      <x:c r="A183" s="389">
        <x:v>3920999090</x:v>
      </x:c>
      <x:c r="B183" s="389" t="s">
        <x:v>456</x:v>
      </x:c>
      <x:c r="D183" s="390" t="s">
        <x:v>457</x:v>
      </x:c>
    </x:row>
    <x:row r="184" customHeight="1">
      <x:c r="A184" s="389">
        <x:v>3920999090</x:v>
      </x:c>
      <x:c r="B184" s="389" t="s">
        <x:v>458</x:v>
      </x:c>
      <x:c r="D184" s="390" t="s">
        <x:v>459</x:v>
      </x:c>
    </x:row>
    <x:row r="185" customHeight="1">
      <x:c r="A185" s="391">
        <x:v>3904220000</x:v>
      </x:c>
      <x:c r="B185" s="392" t="s">
        <x:v>460</x:v>
      </x:c>
      <x:c r="C185" s="392"/>
      <x:c r="D185" s="394" t="s">
        <x:v>461</x:v>
      </x:c>
    </x:row>
    <x:row r="186" customHeight="1">
      <x:c r="A186" s="389">
        <x:v>3904220000</x:v>
      </x:c>
      <x:c r="B186" s="389" t="s">
        <x:v>462</x:v>
      </x:c>
      <x:c r="D186" s="390" t="s">
        <x:v>463</x:v>
      </x:c>
    </x:row>
    <x:row r="187" customHeight="1">
      <x:c r="A187" s="389">
        <x:v>3904220000</x:v>
      </x:c>
      <x:c r="B187" s="389" t="s">
        <x:v>464</x:v>
      </x:c>
      <x:c r="D187" s="390" t="s">
        <x:v>463</x:v>
      </x:c>
    </x:row>
    <x:row r="188" customHeight="1">
      <x:c r="A188" s="391">
        <x:v>7318159090</x:v>
      </x:c>
      <x:c r="B188" s="392" t="s">
        <x:v>465</x:v>
      </x:c>
      <x:c r="C188" s="392"/>
      <x:c r="D188" s="394" t="s">
        <x:v>437</x:v>
      </x:c>
    </x:row>
    <x:row r="189" customHeight="1">
      <x:c r="A189" s="389">
        <x:v>7208520000</x:v>
      </x:c>
      <x:c r="B189" s="389" t="s">
        <x:v>466</x:v>
      </x:c>
      <x:c r="D189" s="390" t="s">
        <x:v>467</x:v>
      </x:c>
    </x:row>
    <x:row r="190" customHeight="1">
      <x:c r="A190" s="389">
        <x:v>9025191090</x:v>
      </x:c>
      <x:c r="B190" s="389" t="s">
        <x:v>468</x:v>
      </x:c>
      <x:c r="D190" s="390" t="s">
        <x:v>469</x:v>
      </x:c>
    </x:row>
    <x:row r="191" customHeight="1">
      <x:c r="A191" s="389">
        <x:v>4821100000</x:v>
      </x:c>
      <x:c r="B191" s="389" t="s">
        <x:v>470</x:v>
      </x:c>
      <x:c r="D191" s="390" t="s">
        <x:v>471</x:v>
      </x:c>
    </x:row>
    <x:row r="192" customHeight="1">
      <x:c r="A192" s="389">
        <x:v>4821100000</x:v>
      </x:c>
      <x:c r="B192" s="389" t="s">
        <x:v>472</x:v>
      </x:c>
      <x:c r="D192" s="390" t="s">
        <x:v>473</x:v>
      </x:c>
    </x:row>
    <x:row r="193" customHeight="1">
      <x:c r="A193" s="389">
        <x:v>8536500090</x:v>
      </x:c>
      <x:c r="B193" s="389" t="s">
        <x:v>474</x:v>
      </x:c>
      <x:c r="D193" s="390" t="s">
        <x:v>475</x:v>
      </x:c>
    </x:row>
    <x:row r="194" customHeight="1">
      <x:c r="A194" s="389">
        <x:v>9503009000</x:v>
      </x:c>
      <x:c r="B194" s="389" t="s">
        <x:v>476</x:v>
      </x:c>
      <x:c r="D194" s="390" t="s">
        <x:v>477</x:v>
      </x:c>
    </x:row>
    <x:row r="195" s="389" customFormat="1" customHeight="1">
      <x:c r="A195" s="389">
        <x:v>4819100000</x:v>
      </x:c>
      <x:c r="B195" s="389" t="s">
        <x:v>478</x:v>
      </x:c>
      <x:c r="D195" s="390" t="s">
        <x:v>479</x:v>
      </x:c>
    </x:row>
    <x:row r="196" s="389" customFormat="1" customHeight="1">
      <x:c r="A196" s="389">
        <x:v>4821100000</x:v>
      </x:c>
      <x:c r="B196" s="389" t="s">
        <x:v>480</x:v>
      </x:c>
      <x:c r="D196" s="390" t="s">
        <x:v>481</x:v>
      </x:c>
    </x:row>
    <x:row r="197" customHeight="1">
      <x:c r="A197" s="389">
        <x:v>3926909090</x:v>
      </x:c>
      <x:c r="B197" s="389" t="s">
        <x:v>482</x:v>
      </x:c>
      <x:c r="D197" s="390" t="s">
        <x:v>483</x:v>
      </x:c>
    </x:row>
    <x:row r="198" customHeight="1">
      <x:c r="A198" s="389">
        <x:v>8211940000</x:v>
      </x:c>
      <x:c r="B198" s="389" t="s">
        <x:v>484</x:v>
      </x:c>
      <x:c r="D198" s="390" t="s">
        <x:v>483</x:v>
      </x:c>
    </x:row>
    <x:row r="199" customHeight="1">
      <x:c r="A199" s="391">
        <x:v>3926909090</x:v>
      </x:c>
      <x:c r="B199" s="392" t="s">
        <x:v>485</x:v>
      </x:c>
      <x:c r="C199" s="392"/>
      <x:c r="D199" s="393" t="s">
        <x:v>486</x:v>
      </x:c>
    </x:row>
    <x:row r="200" customHeight="1">
      <x:c r="A200" s="389">
        <x:v>3923900000</x:v>
      </x:c>
      <x:c r="B200" s="389" t="s">
        <x:v>487</x:v>
      </x:c>
      <x:c r="D200" s="390" t="s">
        <x:v>385</x:v>
      </x:c>
    </x:row>
    <x:row r="201" customHeight="1">
      <x:c r="A201" s="389">
        <x:v>9503009000</x:v>
      </x:c>
      <x:c r="B201" s="389" t="s">
        <x:v>488</x:v>
      </x:c>
      <x:c r="D201" s="390" t="s">
        <x:v>489</x:v>
      </x:c>
    </x:row>
    <x:row r="202" customHeight="1">
      <x:c r="A202" s="389">
        <x:v>5808100000</x:v>
      </x:c>
      <x:c r="B202" s="389" t="s">
        <x:v>490</x:v>
      </x:c>
      <x:c r="D202" s="390" t="s">
        <x:v>491</x:v>
      </x:c>
    </x:row>
    <x:row r="203" customHeight="1">
      <x:c r="A203" s="389">
        <x:v>9503002900</x:v>
      </x:c>
      <x:c r="B203" s="389" t="s">
        <x:v>492</x:v>
      </x:c>
      <x:c r="D203" s="390" t="s">
        <x:v>493</x:v>
      </x:c>
    </x:row>
    <x:row r="204" customHeight="1">
      <x:c r="A204" s="391">
        <x:v>7326909090</x:v>
      </x:c>
      <x:c r="B204" s="392" t="s">
        <x:v>494</x:v>
      </x:c>
      <x:c r="C204" s="392"/>
      <x:c r="D204" s="395" t="s">
        <x:v>405</x:v>
      </x:c>
    </x:row>
    <x:row r="205" customHeight="1">
      <x:c r="A205" s="391">
        <x:v>8480790000</x:v>
      </x:c>
      <x:c r="B205" s="392" t="s">
        <x:v>495</x:v>
      </x:c>
      <x:c r="C205" s="392"/>
      <x:c r="D205" s="395" t="s">
        <x:v>413</x:v>
      </x:c>
    </x:row>
    <x:row r="206" customHeight="1">
      <x:c r="A206" s="391">
        <x:v>3926909090</x:v>
      </x:c>
      <x:c r="B206" s="392" t="s">
        <x:v>496</x:v>
      </x:c>
      <x:c r="C206" s="392"/>
      <x:c r="D206" s="396" t="s">
        <x:v>497</x:v>
      </x:c>
    </x:row>
    <x:row r="207" customHeight="1">
      <x:c r="A207" s="389">
        <x:v>3920999090</x:v>
      </x:c>
      <x:c r="B207" s="389" t="s">
        <x:v>498</x:v>
      </x:c>
      <x:c r="D207" s="390" t="s">
        <x:v>499</x:v>
      </x:c>
    </x:row>
    <x:row r="208" customHeight="1">
      <x:c r="A208" s="391">
        <x:v>3923900000</x:v>
      </x:c>
      <x:c r="B208" s="392" t="s">
        <x:v>500</x:v>
      </x:c>
      <x:c r="C208" s="392"/>
      <x:c r="D208" s="393" t="s">
        <x:v>290</x:v>
      </x:c>
    </x:row>
    <x:row r="209" customHeight="1">
      <x:c r="A209" s="389">
        <x:v>7326909000</x:v>
      </x:c>
      <x:c r="B209" s="389" t="s">
        <x:v>501</x:v>
      </x:c>
    </x:row>
    <x:row r="210" customHeight="1">
      <x:c r="A210" s="391">
        <x:v>4819200000</x:v>
      </x:c>
      <x:c r="B210" s="392" t="s">
        <x:v>502</x:v>
      </x:c>
      <x:c r="C210" s="392"/>
      <x:c r="D210" s="394" t="s">
        <x:v>503</x:v>
      </x:c>
    </x:row>
    <x:row r="211" customHeight="1">
      <x:c r="A211" s="389">
        <x:v>3926909090</x:v>
      </x:c>
      <x:c r="B211" s="389" t="s">
        <x:v>504</x:v>
      </x:c>
      <x:c r="D211" s="390" t="s">
        <x:v>290</x:v>
      </x:c>
    </x:row>
    <x:row r="212" customHeight="1">
      <x:c r="A212" s="391">
        <x:v>9405390000</x:v>
      </x:c>
      <x:c r="B212" s="392" t="s">
        <x:v>505</x:v>
      </x:c>
      <x:c r="C212" s="392"/>
      <x:c r="D212" s="396" t="s">
        <x:v>506</x:v>
      </x:c>
    </x:row>
    <x:row r="213" customHeight="1">
      <x:c r="A213" s="389">
        <x:v>4821100000</x:v>
      </x:c>
      <x:c r="B213" s="389" t="s">
        <x:v>507</x:v>
      </x:c>
      <x:c r="D213" s="390" t="s">
        <x:v>508</x:v>
      </x:c>
    </x:row>
    <x:row r="214" customHeight="1">
      <x:c r="A214" s="391">
        <x:v>4819100000</x:v>
      </x:c>
      <x:c r="B214" s="392" t="s">
        <x:v>509</x:v>
      </x:c>
      <x:c r="C214" s="392"/>
      <x:c r="D214" s="394" t="s">
        <x:v>266</x:v>
      </x:c>
    </x:row>
    <x:row r="215" customHeight="1">
      <x:c r="A215" s="389">
        <x:v>8480790000</x:v>
      </x:c>
      <x:c r="B215" s="389" t="s">
        <x:v>510</x:v>
      </x:c>
    </x:row>
    <x:row r="216" customHeight="1">
      <x:c r="A216" s="389">
        <x:v>8480790000</x:v>
      </x:c>
      <x:c r="B216" s="389" t="s">
        <x:v>511</x:v>
      </x:c>
    </x:row>
    <x:row r="217" customHeight="1">
      <x:c r="A217" s="389">
        <x:v>9403200000</x:v>
      </x:c>
      <x:c r="B217" s="389" t="s">
        <x:v>512</x:v>
      </x:c>
      <x:c r="D217" s="390" t="s">
        <x:v>513</x:v>
      </x:c>
    </x:row>
    <x:row r="218" customHeight="1">
      <x:c r="A218" s="389">
        <x:v>7326909000</x:v>
      </x:c>
      <x:c r="B218" s="389" t="s">
        <x:v>514</x:v>
      </x:c>
      <x:c r="D218" s="390" t="s">
        <x:v>515</x:v>
      </x:c>
    </x:row>
    <x:row r="219" customHeight="1">
      <x:c r="A219" s="389">
        <x:v>9403100000</x:v>
      </x:c>
      <x:c r="B219" s="389" t="s">
        <x:v>516</x:v>
      </x:c>
      <x:c r="D219" s="390" t="s">
        <x:v>517</x:v>
      </x:c>
    </x:row>
    <x:row r="220" customHeight="1">
      <x:c r="A220" s="389">
        <x:v>9403100000</x:v>
      </x:c>
      <x:c r="B220" s="389" t="s">
        <x:v>518</x:v>
      </x:c>
      <x:c r="D220" s="390" t="s">
        <x:v>519</x:v>
      </x:c>
    </x:row>
    <x:row r="221" customHeight="1">
      <x:c r="A221" s="389">
        <x:v>8311100000</x:v>
      </x:c>
      <x:c r="B221" s="389" t="s">
        <x:v>520</x:v>
      </x:c>
      <x:c r="D221" s="390" t="s">
        <x:v>521</x:v>
      </x:c>
    </x:row>
    <x:row r="222" customHeight="1">
      <x:c r="A222" s="391">
        <x:v>4202129000</x:v>
      </x:c>
      <x:c r="B222" s="392" t="s">
        <x:v>522</x:v>
      </x:c>
      <x:c r="C222" s="392"/>
      <x:c r="D222" s="393" t="s">
        <x:v>523</x:v>
      </x:c>
    </x:row>
    <x:row r="223" customHeight="1">
      <x:c r="A223" s="389">
        <x:v>8203200090</x:v>
      </x:c>
      <x:c r="B223" s="389" t="s">
        <x:v>524</x:v>
      </x:c>
      <x:c r="D223" s="390" t="s">
        <x:v>525</x:v>
      </x:c>
    </x:row>
    <x:row r="224" customHeight="1">
      <x:c r="A224" s="389">
        <x:v>5906101000</x:v>
      </x:c>
      <x:c r="B224" s="389" t="s">
        <x:v>526</x:v>
      </x:c>
      <x:c r="D224" s="390" t="s">
        <x:v>527</x:v>
      </x:c>
    </x:row>
    <x:row r="225" customHeight="1">
      <x:c r="A225" s="389">
        <x:v>7326909000</x:v>
      </x:c>
      <x:c r="B225" s="389" t="s">
        <x:v>528</x:v>
      </x:c>
      <x:c r="D225" s="390" t="s">
        <x:v>405</x:v>
      </x:c>
    </x:row>
    <x:row r="226" customHeight="1">
      <x:c r="A226" s="389">
        <x:v>7326909000</x:v>
      </x:c>
      <x:c r="B226" s="389" t="s">
        <x:v>529</x:v>
      </x:c>
      <x:c r="D226" s="390" t="s">
        <x:v>405</x:v>
      </x:c>
    </x:row>
    <x:row r="227" customHeight="1">
      <x:c r="A227" s="389">
        <x:v>8471605000</x:v>
      </x:c>
      <x:c r="B227" s="389" t="s">
        <x:v>530</x:v>
      </x:c>
      <x:c r="D227" s="390" t="s">
        <x:v>531</x:v>
      </x:c>
    </x:row>
    <x:row r="228" s="389" customFormat="1" customHeight="1">
      <x:c r="A228" s="389">
        <x:v>4819200000</x:v>
      </x:c>
      <x:c r="B228" s="389" t="s">
        <x:v>532</x:v>
      </x:c>
      <x:c r="D228" s="390" t="s">
        <x:v>503</x:v>
      </x:c>
    </x:row>
    <x:row r="229" s="389" customFormat="1" customHeight="1">
      <x:c r="A229" s="389">
        <x:v>4819200000</x:v>
      </x:c>
      <x:c r="B229" s="389" t="s">
        <x:v>533</x:v>
      </x:c>
      <x:c r="D229" s="390" t="s">
        <x:v>503</x:v>
      </x:c>
    </x:row>
    <x:row r="230" customHeight="1">
      <x:c r="A230" s="389">
        <x:v>4819100000</x:v>
      </x:c>
      <x:c r="B230" s="389" t="s">
        <x:v>534</x:v>
      </x:c>
      <x:c r="D230" s="390" t="s">
        <x:v>503</x:v>
      </x:c>
    </x:row>
    <x:row r="231" customHeight="1">
      <x:c r="A231" s="389">
        <x:v>4821100000</x:v>
      </x:c>
      <x:c r="B231" s="389" t="s">
        <x:v>535</x:v>
      </x:c>
      <x:c r="D231" s="390" t="s">
        <x:v>536</x:v>
      </x:c>
    </x:row>
    <x:row r="232" customHeight="1">
      <x:c r="A232" s="389">
        <x:v>4821100000</x:v>
      </x:c>
      <x:c r="B232" s="389" t="s">
        <x:v>537</x:v>
      </x:c>
      <x:c r="D232" s="390" t="s">
        <x:v>538</x:v>
      </x:c>
    </x:row>
    <x:row r="233" customHeight="1">
      <x:c r="A233" s="391">
        <x:v>4819100000</x:v>
      </x:c>
      <x:c r="B233" s="392" t="s">
        <x:v>539</x:v>
      </x:c>
      <x:c r="C233" s="392"/>
      <x:c r="D233" s="394" t="s">
        <x:v>266</x:v>
      </x:c>
    </x:row>
    <x:row r="234" s="389" customFormat="1" customHeight="1">
      <x:c r="A234" s="391">
        <x:v>4819100000</x:v>
      </x:c>
      <x:c r="B234" s="392" t="s">
        <x:v>540</x:v>
      </x:c>
      <x:c r="C234" s="392"/>
      <x:c r="D234" s="393" t="s">
        <x:v>503</x:v>
      </x:c>
    </x:row>
    <x:row r="235" customHeight="1">
      <x:c r="A235" s="391">
        <x:v>4819100000</x:v>
      </x:c>
      <x:c r="B235" s="392" t="s">
        <x:v>541</x:v>
      </x:c>
      <x:c r="C235" s="392"/>
      <x:c r="D235" s="393" t="s">
        <x:v>503</x:v>
      </x:c>
    </x:row>
    <x:row r="236" customHeight="1">
      <x:c r="A236" s="391">
        <x:v>4821100000</x:v>
      </x:c>
      <x:c r="B236" s="392" t="s">
        <x:v>542</x:v>
      </x:c>
      <x:c r="C236" s="392"/>
      <x:c r="D236" s="393" t="s">
        <x:v>543</x:v>
      </x:c>
    </x:row>
    <x:row r="237" customHeight="1">
      <x:c r="A237" s="389">
        <x:v>7326909000</x:v>
      </x:c>
      <x:c r="B237" s="389" t="s">
        <x:v>544</x:v>
      </x:c>
      <x:c r="D237" s="390" t="s">
        <x:v>545</x:v>
      </x:c>
    </x:row>
    <x:row r="238" customHeight="1">
      <x:c r="A238" s="389">
        <x:v>7326909000</x:v>
      </x:c>
      <x:c r="B238" s="389" t="s">
        <x:v>546</x:v>
      </x:c>
      <x:c r="D238" s="390" t="s">
        <x:v>547</x:v>
      </x:c>
    </x:row>
    <x:row r="239" customHeight="1">
      <x:c r="A239" s="389">
        <x:v>4821100000</x:v>
      </x:c>
      <x:c r="B239" s="389" t="s">
        <x:v>548</x:v>
      </x:c>
      <x:c r="D239" s="390" t="s">
        <x:v>549</x:v>
      </x:c>
    </x:row>
    <x:row r="240" customHeight="1">
      <x:c r="A240" s="389">
        <x:v>4819100000</x:v>
      </x:c>
      <x:c r="B240" s="389" t="s">
        <x:v>550</x:v>
      </x:c>
      <x:c r="D240" s="390" t="s">
        <x:v>266</x:v>
      </x:c>
    </x:row>
    <x:row r="241" s="389" customFormat="1" customHeight="1">
      <x:c r="A241" s="391">
        <x:v>4819100000</x:v>
      </x:c>
      <x:c r="B241" s="392" t="s">
        <x:v>551</x:v>
      </x:c>
      <x:c r="C241" s="392"/>
      <x:c r="D241" s="396" t="s">
        <x:v>266</x:v>
      </x:c>
    </x:row>
    <x:row r="242" s="389" customFormat="1" customHeight="1">
      <x:c r="A242" s="389">
        <x:v>8480790000</x:v>
      </x:c>
      <x:c r="B242" s="389" t="s">
        <x:v>552</x:v>
      </x:c>
      <x:c r="D242" s="390" t="s">
        <x:v>413</x:v>
      </x:c>
    </x:row>
    <x:row r="243" customHeight="1">
      <x:c r="A243" s="389">
        <x:v>8468800000</x:v>
      </x:c>
      <x:c r="B243" s="389" t="s">
        <x:v>553</x:v>
      </x:c>
      <x:c r="D243" s="390" t="s">
        <x:v>554</x:v>
      </x:c>
    </x:row>
    <x:row r="244" customHeight="1">
      <x:c r="A244" s="389">
        <x:v>8468900000</x:v>
      </x:c>
      <x:c r="B244" s="389" t="s">
        <x:v>555</x:v>
      </x:c>
      <x:c r="D244" s="390" t="s">
        <x:v>556</x:v>
      </x:c>
    </x:row>
    <x:row r="245" customHeight="1">
      <x:c r="A245" s="389">
        <x:v>7326909000</x:v>
      </x:c>
      <x:c r="B245" s="389" t="s">
        <x:v>557</x:v>
      </x:c>
      <x:c r="D245" s="390" t="s">
        <x:v>405</x:v>
      </x:c>
    </x:row>
    <x:row r="246" customHeight="1">
      <x:c r="A246" s="389">
        <x:v>7326909000</x:v>
      </x:c>
      <x:c r="B246" s="389" t="s">
        <x:v>558</x:v>
      </x:c>
    </x:row>
    <x:row r="247" customHeight="1">
      <x:c r="A247" s="389">
        <x:v>8208101100</x:v>
      </x:c>
      <x:c r="B247" s="389" t="s">
        <x:v>559</x:v>
      </x:c>
      <x:c r="D247" s="390" t="s">
        <x:v>560</x:v>
      </x:c>
    </x:row>
    <x:row r="248" customHeight="1">
      <x:c r="A248" s="389">
        <x:v>8208109000</x:v>
      </x:c>
      <x:c r="B248" s="389" t="s">
        <x:v>561</x:v>
      </x:c>
      <x:c r="D248" s="390" t="s">
        <x:v>562</x:v>
      </x:c>
    </x:row>
    <x:row r="249" customHeight="1">
      <x:c r="A249" s="389">
        <x:v>7326909000</x:v>
      </x:c>
      <x:c r="B249" s="389" t="s">
        <x:v>563</x:v>
      </x:c>
      <x:c r="D249" s="390" t="s">
        <x:v>564</x:v>
      </x:c>
    </x:row>
    <x:row r="250" customHeight="1">
      <x:c r="A250" s="389">
        <x:v>8480790000</x:v>
      </x:c>
      <x:c r="B250" s="389" t="s">
        <x:v>565</x:v>
      </x:c>
      <x:c r="D250" s="390" t="s">
        <x:v>413</x:v>
      </x:c>
    </x:row>
    <x:row r="251" customHeight="1">
      <x:c r="A251" s="389">
        <x:v>4819200000</x:v>
      </x:c>
      <x:c r="B251" s="389" t="s">
        <x:v>566</x:v>
      </x:c>
      <x:c r="D251" s="390" t="s">
        <x:v>503</x:v>
      </x:c>
    </x:row>
    <x:row r="252" customHeight="1">
      <x:c r="A252" s="389">
        <x:v>8480790000</x:v>
      </x:c>
      <x:c r="B252" s="389" t="s">
        <x:v>567</x:v>
      </x:c>
      <x:c r="D252" s="390" t="s">
        <x:v>413</x:v>
      </x:c>
    </x:row>
    <x:row r="253" customHeight="1">
      <x:c r="A253" s="389">
        <x:v>8480790000</x:v>
      </x:c>
      <x:c r="B253" s="389" t="s">
        <x:v>568</x:v>
      </x:c>
      <x:c r="D253" s="390" t="s">
        <x:v>413</x:v>
      </x:c>
    </x:row>
    <x:row r="254" customHeight="1">
      <x:c r="A254" s="389">
        <x:v>8480790000</x:v>
      </x:c>
      <x:c r="B254" s="389" t="s">
        <x:v>569</x:v>
      </x:c>
      <x:c r="D254" s="390" t="s">
        <x:v>413</x:v>
      </x:c>
    </x:row>
    <x:row r="255" customHeight="1">
      <x:c r="A255" s="389">
        <x:v>7326909000</x:v>
      </x:c>
      <x:c r="B255" s="389" t="s">
        <x:v>570</x:v>
      </x:c>
      <x:c r="D255" s="390" t="s">
        <x:v>405</x:v>
      </x:c>
    </x:row>
    <x:row r="256" customHeight="1">
      <x:c r="A256" s="389">
        <x:v>8480790000</x:v>
      </x:c>
      <x:c r="B256" s="389" t="s">
        <x:v>571</x:v>
      </x:c>
      <x:c r="D256" s="390" t="s">
        <x:v>413</x:v>
      </x:c>
    </x:row>
    <x:row r="257" customHeight="1">
      <x:c r="A257" s="389">
        <x:v>8480790000</x:v>
      </x:c>
      <x:c r="B257" s="389" t="s">
        <x:v>572</x:v>
      </x:c>
      <x:c r="D257" s="390" t="s">
        <x:v>413</x:v>
      </x:c>
    </x:row>
    <x:row r="258" customHeight="1">
      <x:c r="A258" s="389">
        <x:v>732690900</x:v>
      </x:c>
      <x:c r="B258" s="389" t="s">
        <x:v>573</x:v>
      </x:c>
      <x:c r="D258" s="390" t="s">
        <x:v>426</x:v>
      </x:c>
    </x:row>
    <x:row r="259" customHeight="1">
      <x:c r="A259" s="389">
        <x:v>8480790000</x:v>
      </x:c>
      <x:c r="B259" s="389" t="s">
        <x:v>574</x:v>
      </x:c>
      <x:c r="D259" s="390" t="s">
        <x:v>413</x:v>
      </x:c>
    </x:row>
    <x:row r="260" customHeight="1">
      <x:c r="A260" s="389">
        <x:v>8480790000</x:v>
      </x:c>
      <x:c r="B260" s="389" t="s">
        <x:v>575</x:v>
      </x:c>
      <x:c r="D260" s="390" t="s">
        <x:v>413</x:v>
      </x:c>
    </x:row>
    <x:row r="261" customHeight="1">
      <x:c r="A261" s="389">
        <x:v>8480790000</x:v>
      </x:c>
      <x:c r="B261" s="389" t="s">
        <x:v>576</x:v>
      </x:c>
      <x:c r="D261" s="390" t="s">
        <x:v>413</x:v>
      </x:c>
    </x:row>
    <x:row r="262" s="389" customFormat="1" customHeight="1">
      <x:c r="A262" s="389">
        <x:v>4819100000</x:v>
      </x:c>
      <x:c r="B262" s="389" t="s">
        <x:v>577</x:v>
      </x:c>
      <x:c r="D262" s="390" t="s">
        <x:v>578</x:v>
      </x:c>
    </x:row>
    <x:row r="263" customHeight="1">
      <x:c r="A263" s="389">
        <x:v>7326909000</x:v>
      </x:c>
      <x:c r="B263" s="389" t="s">
        <x:v>579</x:v>
      </x:c>
      <x:c r="D263" s="390" t="s">
        <x:v>405</x:v>
      </x:c>
    </x:row>
    <x:row r="264" s="389" customFormat="1" customHeight="1">
      <x:c r="A264" s="389">
        <x:v>4819100000</x:v>
      </x:c>
      <x:c r="B264" s="389" t="s">
        <x:v>580</x:v>
      </x:c>
      <x:c r="D264" s="390" t="s">
        <x:v>578</x:v>
      </x:c>
    </x:row>
    <x:row r="265" customHeight="1">
      <x:c r="A265" s="389">
        <x:v>7326909000</x:v>
      </x:c>
      <x:c r="B265" s="389" t="s">
        <x:v>581</x:v>
      </x:c>
      <x:c r="D265" s="390" t="s">
        <x:v>582</x:v>
      </x:c>
    </x:row>
    <x:row r="266" s="389" customFormat="1" customHeight="1">
      <x:c r="A266" s="389">
        <x:v>4819100000</x:v>
      </x:c>
      <x:c r="B266" s="389" t="s">
        <x:v>583</x:v>
      </x:c>
      <x:c r="D266" s="390" t="s">
        <x:v>578</x:v>
      </x:c>
    </x:row>
    <x:row r="267" s="389" customFormat="1" customHeight="1">
      <x:c r="A267" s="391">
        <x:v>4819100000</x:v>
      </x:c>
      <x:c r="B267" s="392" t="s">
        <x:v>584</x:v>
      </x:c>
      <x:c r="C267" s="392"/>
      <x:c r="D267" s="396" t="s">
        <x:v>266</x:v>
      </x:c>
    </x:row>
    <x:row r="268" customHeight="1">
      <x:c r="A268" s="389">
        <x:v>4819200000</x:v>
      </x:c>
      <x:c r="B268" s="389" t="s">
        <x:v>585</x:v>
      </x:c>
      <x:c r="D268" s="390" t="s">
        <x:v>266</x:v>
      </x:c>
    </x:row>
    <x:row r="269" customHeight="1">
      <x:c r="A269" s="389">
        <x:v>7326909000</x:v>
      </x:c>
      <x:c r="B269" s="389" t="s">
        <x:v>586</x:v>
      </x:c>
      <x:c r="D269" s="390" t="s">
        <x:v>582</x:v>
      </x:c>
    </x:row>
    <x:row r="270" customHeight="1">
      <x:c r="A270" s="389">
        <x:v>7326909000</x:v>
      </x:c>
      <x:c r="B270" s="389" t="s">
        <x:v>587</x:v>
      </x:c>
      <x:c r="D270" s="390" t="s">
        <x:v>405</x:v>
      </x:c>
    </x:row>
    <x:row r="271" customHeight="1">
      <x:c r="A271" s="391">
        <x:v>3923900000</x:v>
      </x:c>
      <x:c r="B271" s="392" t="s">
        <x:v>588</x:v>
      </x:c>
      <x:c r="C271" s="392"/>
      <x:c r="D271" s="393" t="s">
        <x:v>290</x:v>
      </x:c>
    </x:row>
    <x:row r="272" customHeight="1">
      <x:c r="A272" s="391">
        <x:v>3923900000</x:v>
      </x:c>
      <x:c r="B272" s="392" t="s">
        <x:v>589</x:v>
      </x:c>
      <x:c r="C272" s="392"/>
      <x:c r="D272" s="393" t="s">
        <x:v>290</x:v>
      </x:c>
    </x:row>
    <x:row r="273" customHeight="1">
      <x:c r="A273" s="391">
        <x:v>9503009000</x:v>
      </x:c>
      <x:c r="B273" s="392" t="s">
        <x:v>590</x:v>
      </x:c>
      <x:c r="C273" s="392"/>
      <x:c r="D273" s="394" t="s">
        <x:v>591</x:v>
      </x:c>
    </x:row>
    <x:row r="274" customHeight="1">
      <x:c r="A274" s="389">
        <x:v>9503009000</x:v>
      </x:c>
      <x:c r="B274" s="389" t="s">
        <x:v>592</x:v>
      </x:c>
      <x:c r="D274" s="390" t="s">
        <x:v>593</x:v>
      </x:c>
    </x:row>
    <x:row r="275" customHeight="1">
      <x:c r="A275" s="389">
        <x:v>7326909000</x:v>
      </x:c>
      <x:c r="B275" s="389" t="s">
        <x:v>594</x:v>
      </x:c>
    </x:row>
    <x:row r="276" customHeight="1">
      <x:c r="A276" s="389">
        <x:v>8504409999</x:v>
      </x:c>
      <x:c r="B276" s="389" t="s">
        <x:v>595</x:v>
      </x:c>
      <x:c r="D276" s="390" t="s">
        <x:v>596</x:v>
      </x:c>
    </x:row>
    <x:row r="277" customHeight="1">
      <x:c r="A277" s="389">
        <x:v>8414909090</x:v>
      </x:c>
      <x:c r="B277" s="389" t="s">
        <x:v>597</x:v>
      </x:c>
      <x:c r="D277" s="390" t="s">
        <x:v>598</x:v>
      </x:c>
    </x:row>
    <x:row r="278" customHeight="1">
      <x:c r="A278" s="389">
        <x:v>8451500000</x:v>
      </x:c>
      <x:c r="B278" s="389" t="s">
        <x:v>599</x:v>
      </x:c>
      <x:c r="D278" s="390" t="s">
        <x:v>600</x:v>
      </x:c>
    </x:row>
    <x:row r="279" customHeight="1">
      <x:c r="A279" s="389">
        <x:v>8480790000</x:v>
      </x:c>
      <x:c r="B279" s="389" t="s">
        <x:v>601</x:v>
      </x:c>
      <x:c r="D279" s="390" t="s">
        <x:v>413</x:v>
      </x:c>
    </x:row>
    <x:row r="280" customHeight="1">
      <x:c r="A280" s="389">
        <x:v>8480790000</x:v>
      </x:c>
      <x:c r="B280" s="389" t="s">
        <x:v>602</x:v>
      </x:c>
      <x:c r="D280" s="390" t="s">
        <x:v>413</x:v>
      </x:c>
    </x:row>
    <x:row r="281" customHeight="1">
      <x:c r="A281" s="389">
        <x:v>8480790000</x:v>
      </x:c>
      <x:c r="B281" s="389" t="s">
        <x:v>603</x:v>
      </x:c>
      <x:c r="D281" s="390" t="s">
        <x:v>413</x:v>
      </x:c>
    </x:row>
    <x:row r="282" customHeight="1">
      <x:c r="A282" s="389">
        <x:v>8480790000</x:v>
      </x:c>
      <x:c r="B282" s="389" t="s">
        <x:v>604</x:v>
      </x:c>
      <x:c r="D282" s="390" t="s">
        <x:v>413</x:v>
      </x:c>
    </x:row>
    <x:row r="283" customHeight="1">
      <x:c r="A283" s="389">
        <x:v>8467920000</x:v>
      </x:c>
      <x:c r="B283" s="389" t="s">
        <x:v>605</x:v>
      </x:c>
      <x:c r="D283" s="390" t="s">
        <x:v>606</x:v>
      </x:c>
    </x:row>
    <x:row r="284" customHeight="1">
      <x:c r="A284" s="389">
        <x:v>8480790000</x:v>
      </x:c>
      <x:c r="B284" s="389" t="s">
        <x:v>607</x:v>
      </x:c>
      <x:c r="D284" s="390" t="s">
        <x:v>413</x:v>
      </x:c>
    </x:row>
    <x:row r="285" customHeight="1">
      <x:c r="A285" s="389">
        <x:v>3926901000</x:v>
      </x:c>
      <x:c r="B285" s="389" t="s">
        <x:v>608</x:v>
      </x:c>
      <x:c r="D285" s="390" t="s">
        <x:v>290</x:v>
      </x:c>
    </x:row>
    <x:row r="286" customHeight="1">
      <x:c r="A286" s="389">
        <x:v>8213000000</x:v>
      </x:c>
      <x:c r="B286" s="389" t="s">
        <x:v>609</x:v>
      </x:c>
      <x:c r="D286" s="390" t="s">
        <x:v>610</x:v>
      </x:c>
    </x:row>
    <x:row r="287" customHeight="1">
      <x:c r="A287" s="389">
        <x:v>9603302090</x:v>
      </x:c>
      <x:c r="B287" s="389" t="s">
        <x:v>611</x:v>
      </x:c>
      <x:c r="D287" s="390" t="s">
        <x:v>612</x:v>
      </x:c>
    </x:row>
    <x:row r="288" customHeight="1">
      <x:c r="A288" s="391">
        <x:v>7326909000</x:v>
      </x:c>
      <x:c r="B288" s="392" t="s">
        <x:v>613</x:v>
      </x:c>
      <x:c r="C288" s="392"/>
      <x:c r="D288" s="393" t="s">
        <x:v>405</x:v>
      </x:c>
    </x:row>
    <x:row r="289" customHeight="1">
      <x:c r="A289" s="391">
        <x:v>7326909000</x:v>
      </x:c>
      <x:c r="B289" s="392" t="s">
        <x:v>614</x:v>
      </x:c>
      <x:c r="C289" s="392"/>
      <x:c r="D289" s="393" t="s">
        <x:v>405</x:v>
      </x:c>
    </x:row>
    <x:row r="290" customHeight="1">
      <x:c r="A290" s="389">
        <x:v>8467890000</x:v>
      </x:c>
      <x:c r="B290" s="389" t="s">
        <x:v>615</x:v>
      </x:c>
      <x:c r="D290" s="390" t="s">
        <x:v>616</x:v>
      </x:c>
    </x:row>
    <x:row r="291" customHeight="1">
      <x:c r="A291" s="391">
        <x:v>8480790000</x:v>
      </x:c>
      <x:c r="B291" s="392" t="s">
        <x:v>617</x:v>
      </x:c>
      <x:c r="C291" s="392"/>
      <x:c r="D291" s="395" t="s">
        <x:v>413</x:v>
      </x:c>
    </x:row>
    <x:row r="292" customHeight="1">
      <x:c r="A292" s="389">
        <x:v>7326909000</x:v>
      </x:c>
      <x:c r="B292" s="389" t="s">
        <x:v>618</x:v>
      </x:c>
      <x:c r="D292" s="390" t="s">
        <x:v>405</x:v>
      </x:c>
    </x:row>
    <x:row r="293" s="389" customFormat="1" customHeight="1">
      <x:c r="A293" s="389">
        <x:v>7326909000</x:v>
      </x:c>
      <x:c r="B293" s="389" t="s">
        <x:v>619</x:v>
      </x:c>
      <x:c r="D293" s="390" t="s">
        <x:v>405</x:v>
      </x:c>
    </x:row>
    <x:row r="294" s="389" customFormat="1" customHeight="1">
      <x:c r="A294" s="389">
        <x:v>3923900000</x:v>
      </x:c>
      <x:c r="B294" s="389" t="s">
        <x:v>620</x:v>
      </x:c>
      <x:c r="D294" s="390" t="s">
        <x:v>290</x:v>
      </x:c>
    </x:row>
    <x:row r="295" customHeight="1">
      <x:c r="A295" s="389">
        <x:v>5807900000</x:v>
      </x:c>
      <x:c r="B295" s="389" t="s">
        <x:v>621</x:v>
      </x:c>
      <x:c r="D295" s="390" t="s">
        <x:v>622</x:v>
      </x:c>
    </x:row>
    <x:row r="296" customHeight="1">
      <x:c r="A296" s="389">
        <x:v>3926909090</x:v>
      </x:c>
      <x:c r="B296" s="389" t="s">
        <x:v>623</x:v>
      </x:c>
      <x:c r="D296" s="390" t="s">
        <x:v>290</x:v>
      </x:c>
    </x:row>
    <x:row r="297" customHeight="1">
      <x:c r="A297" s="389">
        <x:v>3926909090</x:v>
      </x:c>
      <x:c r="B297" s="389" t="s">
        <x:v>624</x:v>
      </x:c>
      <x:c r="D297" s="390" t="s">
        <x:v>625</x:v>
      </x:c>
    </x:row>
    <x:row r="298" customHeight="1">
      <x:c r="A298" s="389">
        <x:v>3926909090</x:v>
      </x:c>
      <x:c r="B298" s="389" t="s">
        <x:v>626</x:v>
      </x:c>
      <x:c r="D298" s="390" t="s">
        <x:v>625</x:v>
      </x:c>
    </x:row>
    <x:row r="299" customHeight="1">
      <x:c r="A299" s="389">
        <x:v>3926909090</x:v>
      </x:c>
      <x:c r="B299" s="389" t="s">
        <x:v>627</x:v>
      </x:c>
      <x:c r="D299" s="390" t="s">
        <x:v>625</x:v>
      </x:c>
    </x:row>
    <x:row r="300" customHeight="1">
      <x:c r="A300" s="389">
        <x:v>3926909090</x:v>
      </x:c>
      <x:c r="B300" s="389" t="s">
        <x:v>628</x:v>
      </x:c>
      <x:c r="D300" s="390" t="s">
        <x:v>625</x:v>
      </x:c>
    </x:row>
    <x:row r="301" customHeight="1">
      <x:c r="A301" s="389">
        <x:v>3926909090</x:v>
      </x:c>
      <x:c r="B301" s="389" t="s">
        <x:v>629</x:v>
      </x:c>
      <x:c r="D301" s="390" t="s">
        <x:v>625</x:v>
      </x:c>
    </x:row>
    <x:row r="302" customHeight="1">
      <x:c r="A302" s="389">
        <x:v>3926909090</x:v>
      </x:c>
      <x:c r="B302" s="389" t="s">
        <x:v>630</x:v>
      </x:c>
      <x:c r="D302" s="390" t="s">
        <x:v>290</x:v>
      </x:c>
    </x:row>
    <x:row r="303" customHeight="1">
      <x:c r="A303" s="389">
        <x:v>3926909090</x:v>
      </x:c>
      <x:c r="B303" s="389" t="s">
        <x:v>631</x:v>
      </x:c>
      <x:c r="D303" s="390" t="s">
        <x:v>290</x:v>
      </x:c>
    </x:row>
    <x:row r="304" customHeight="1">
      <x:c r="A304" s="389">
        <x:v>3926909090</x:v>
      </x:c>
      <x:c r="B304" s="389" t="s">
        <x:v>632</x:v>
      </x:c>
      <x:c r="D304" s="390" t="s">
        <x:v>290</x:v>
      </x:c>
    </x:row>
    <x:row r="305" customHeight="1">
      <x:c r="A305" s="389">
        <x:v>3926909090</x:v>
      </x:c>
      <x:c r="B305" s="389" t="s">
        <x:v>633</x:v>
      </x:c>
      <x:c r="D305" s="390" t="s">
        <x:v>290</x:v>
      </x:c>
    </x:row>
    <x:row r="306" customHeight="1">
      <x:c r="A306" s="389">
        <x:v>3926909090</x:v>
      </x:c>
      <x:c r="B306" s="389" t="s">
        <x:v>634</x:v>
      </x:c>
      <x:c r="D306" s="390" t="s">
        <x:v>625</x:v>
      </x:c>
    </x:row>
    <x:row r="307" customHeight="1">
      <x:c r="A307" s="389">
        <x:v>3926909090</x:v>
      </x:c>
      <x:c r="B307" s="389" t="s">
        <x:v>635</x:v>
      </x:c>
      <x:c r="D307" s="390" t="s">
        <x:v>625</x:v>
      </x:c>
    </x:row>
    <x:row r="308" customHeight="1">
      <x:c r="A308" s="389">
        <x:v>3926909090</x:v>
      </x:c>
      <x:c r="B308" s="389" t="s">
        <x:v>636</x:v>
      </x:c>
      <x:c r="D308" s="390" t="s">
        <x:v>625</x:v>
      </x:c>
    </x:row>
    <x:row r="309" customHeight="1">
      <x:c r="A309" s="391">
        <x:v>3926909090</x:v>
      </x:c>
      <x:c r="B309" s="392" t="s">
        <x:v>637</x:v>
      </x:c>
      <x:c r="C309" s="392"/>
      <x:c r="D309" s="393" t="s">
        <x:v>625</x:v>
      </x:c>
    </x:row>
    <x:row r="310" customHeight="1">
      <x:c r="A310" s="389">
        <x:v>8440102000</x:v>
      </x:c>
      <x:c r="B310" s="389" t="s">
        <x:v>638</x:v>
      </x:c>
      <x:c r="D310" s="390" t="s">
        <x:v>639</x:v>
      </x:c>
    </x:row>
    <x:row r="311" customHeight="1">
      <x:c r="A311" s="391">
        <x:v>3926909090</x:v>
      </x:c>
      <x:c r="B311" s="397" t="s">
        <x:v>640</x:v>
      </x:c>
      <x:c r="C311" s="397"/>
      <x:c r="D311" s="393" t="s">
        <x:v>625</x:v>
      </x:c>
    </x:row>
    <x:row r="312" customHeight="1">
      <x:c r="A312" s="391">
        <x:v>3921139000</x:v>
      </x:c>
      <x:c r="B312" s="392" t="s">
        <x:v>641</x:v>
      </x:c>
      <x:c r="C312" s="392"/>
      <x:c r="D312" s="394" t="s">
        <x:v>642</x:v>
      </x:c>
    </x:row>
    <x:row r="313" customHeight="1">
      <x:c r="A313" s="391">
        <x:v>8480790000</x:v>
      </x:c>
      <x:c r="B313" s="392" t="s">
        <x:v>643</x:v>
      </x:c>
      <x:c r="C313" s="392"/>
      <x:c r="D313" s="398" t="s">
        <x:v>644</x:v>
      </x:c>
    </x:row>
    <x:row r="314" customHeight="1">
      <x:c r="A314" s="389">
        <x:v>8480790000</x:v>
      </x:c>
      <x:c r="B314" s="389" t="s">
        <x:v>645</x:v>
      </x:c>
    </x:row>
    <x:row r="315" customHeight="1">
      <x:c r="A315" s="389">
        <x:v>8468900000</x:v>
      </x:c>
      <x:c r="B315" s="389" t="s">
        <x:v>646</x:v>
      </x:c>
      <x:c r="D315" s="390" t="s">
        <x:v>647</x:v>
      </x:c>
    </x:row>
    <x:row r="316" customHeight="1">
      <x:c r="A316" s="389">
        <x:v>9029109000</x:v>
      </x:c>
      <x:c r="B316" s="389" t="s">
        <x:v>648</x:v>
      </x:c>
      <x:c r="D316" s="390" t="s">
        <x:v>556</x:v>
      </x:c>
    </x:row>
    <x:row r="317" customHeight="1">
      <x:c r="A317" s="389">
        <x:v>7319900000</x:v>
      </x:c>
      <x:c r="B317" s="389" t="s">
        <x:v>649</x:v>
      </x:c>
      <x:c r="D317" s="390" t="s">
        <x:v>650</x:v>
      </x:c>
    </x:row>
    <x:row r="318" customHeight="1">
      <x:c r="A318" s="391">
        <x:v>9028301400</x:v>
      </x:c>
      <x:c r="B318" s="392" t="s">
        <x:v>651</x:v>
      </x:c>
      <x:c r="C318" s="392"/>
      <x:c r="D318" s="396" t="s">
        <x:v>652</x:v>
      </x:c>
    </x:row>
    <x:row r="319" customHeight="1">
      <x:c r="A319" s="389">
        <x:v>8480790000</x:v>
      </x:c>
      <x:c r="B319" s="389" t="s">
        <x:v>653</x:v>
      </x:c>
      <x:c r="D319" s="390" t="s">
        <x:v>413</x:v>
      </x:c>
    </x:row>
    <x:row r="320" customHeight="1">
      <x:c r="A320" s="389">
        <x:v>7326909000</x:v>
      </x:c>
      <x:c r="B320" s="389" t="s">
        <x:v>654</x:v>
      </x:c>
      <x:c r="D320" s="390" t="s">
        <x:v>405</x:v>
      </x:c>
    </x:row>
    <x:row r="321" customHeight="1">
      <x:c r="A321" s="389">
        <x:v>8480790000</x:v>
      </x:c>
      <x:c r="B321" s="389" t="s">
        <x:v>655</x:v>
      </x:c>
      <x:c r="D321" s="390" t="s">
        <x:v>413</x:v>
      </x:c>
    </x:row>
    <x:row r="322" customHeight="1">
      <x:c r="A322" s="389">
        <x:v>8480790000</x:v>
      </x:c>
      <x:c r="B322" s="389" t="s">
        <x:v>656</x:v>
      </x:c>
    </x:row>
    <x:row r="323" customHeight="1">
      <x:c r="A323" s="391">
        <x:v>9405429000</x:v>
      </x:c>
      <x:c r="B323" s="392" t="s">
        <x:v>657</x:v>
      </x:c>
      <x:c r="C323" s="392"/>
      <x:c r="D323" s="396" t="s">
        <x:v>658</x:v>
      </x:c>
    </x:row>
    <x:row r="324" customHeight="1">
      <x:c r="A324" s="389">
        <x:v>7326909000</x:v>
      </x:c>
      <x:c r="B324" s="389" t="s">
        <x:v>659</x:v>
      </x:c>
      <x:c r="D324" s="390" t="s">
        <x:v>405</x:v>
      </x:c>
    </x:row>
    <x:row r="325" customHeight="1">
      <x:c r="A325" s="389">
        <x:v>8480790000</x:v>
      </x:c>
      <x:c r="B325" s="389" t="s">
        <x:v>660</x:v>
      </x:c>
      <x:c r="D325" s="390" t="s">
        <x:v>413</x:v>
      </x:c>
    </x:row>
    <x:row r="326" customHeight="1">
      <x:c r="A326" s="389">
        <x:v>3926909090</x:v>
      </x:c>
      <x:c r="B326" s="389" t="s">
        <x:v>661</x:v>
      </x:c>
      <x:c r="D326" s="390" t="s">
        <x:v>662</x:v>
      </x:c>
    </x:row>
    <x:row r="327" customHeight="1">
      <x:c r="A327" s="389">
        <x:v>7326909000</x:v>
      </x:c>
      <x:c r="B327" s="389" t="s">
        <x:v>663</x:v>
      </x:c>
    </x:row>
    <x:row r="328" customHeight="1">
      <x:c r="A328" s="389">
        <x:v>7326909000</x:v>
      </x:c>
      <x:c r="B328" s="389" t="s">
        <x:v>664</x:v>
      </x:c>
    </x:row>
    <x:row r="329" customHeight="1">
      <x:c r="A329" s="389">
        <x:v>8480790000</x:v>
      </x:c>
      <x:c r="B329" s="389" t="s">
        <x:v>665</x:v>
      </x:c>
      <x:c r="D329" s="390" t="s">
        <x:v>413</x:v>
      </x:c>
    </x:row>
    <x:row r="330" customHeight="1">
      <x:c r="A330" s="389">
        <x:v>8427109000</x:v>
      </x:c>
      <x:c r="B330" s="389" t="s">
        <x:v>666</x:v>
      </x:c>
      <x:c r="D330" s="390" t="s">
        <x:v>667</x:v>
      </x:c>
    </x:row>
    <x:row r="331" customHeight="1">
      <x:c r="A331" s="389">
        <x:v>8468800000</x:v>
      </x:c>
      <x:c r="B331" s="389" t="s">
        <x:v>668</x:v>
      </x:c>
      <x:c r="D331" s="390" t="s">
        <x:v>669</x:v>
      </x:c>
    </x:row>
    <x:row r="332" customHeight="1">
      <x:c r="A332" s="389">
        <x:v>8468900000</x:v>
      </x:c>
      <x:c r="B332" s="389" t="s">
        <x:v>670</x:v>
      </x:c>
      <x:c r="D332" s="390" t="s">
        <x:v>671</x:v>
      </x:c>
    </x:row>
    <x:row r="333" customHeight="1">
      <x:c r="A333" s="389">
        <x:v>8311100000</x:v>
      </x:c>
      <x:c r="B333" s="389" t="s">
        <x:v>672</x:v>
      </x:c>
      <x:c r="D333" s="390" t="s">
        <x:v>673</x:v>
      </x:c>
    </x:row>
    <x:row r="334" customHeight="1">
      <x:c r="A334" s="391">
        <x:v>8451500000</x:v>
      </x:c>
      <x:c r="B334" s="392" t="s">
        <x:v>674</x:v>
      </x:c>
      <x:c r="C334" s="392"/>
      <x:c r="D334" s="394" t="s">
        <x:v>675</x:v>
      </x:c>
    </x:row>
    <x:row r="335" customHeight="1">
      <x:c r="A335" s="389">
        <x:v>8544200000</x:v>
      </x:c>
      <x:c r="B335" s="389" t="s">
        <x:v>676</x:v>
      </x:c>
      <x:c r="D335" s="390" t="s">
        <x:v>677</x:v>
      </x:c>
    </x:row>
    <x:row r="336" customHeight="1">
      <x:c r="A336" s="391">
        <x:v>8504311000</x:v>
      </x:c>
      <x:c r="B336" s="392" t="s">
        <x:v>678</x:v>
      </x:c>
      <x:c r="C336" s="392"/>
      <x:c r="D336" s="396" t="s">
        <x:v>679</x:v>
      </x:c>
    </x:row>
    <x:row r="337" customHeight="1">
      <x:c r="A337" s="391">
        <x:v>8504311000</x:v>
      </x:c>
      <x:c r="B337" s="392" t="s">
        <x:v>680</x:v>
      </x:c>
      <x:c r="C337" s="392"/>
      <x:c r="D337" s="396" t="s">
        <x:v>681</x:v>
      </x:c>
    </x:row>
    <x:row r="338" customHeight="1">
      <x:c r="A338" s="391">
        <x:v>8504311000</x:v>
      </x:c>
      <x:c r="B338" s="392" t="s">
        <x:v>682</x:v>
      </x:c>
      <x:c r="C338" s="392"/>
      <x:c r="D338" s="396" t="s">
        <x:v>683</x:v>
      </x:c>
    </x:row>
    <x:row r="339" customHeight="1">
      <x:c r="A339" s="391">
        <x:v>8504311000</x:v>
      </x:c>
      <x:c r="B339" s="392" t="s">
        <x:v>684</x:v>
      </x:c>
      <x:c r="C339" s="392"/>
      <x:c r="D339" s="396" t="s">
        <x:v>685</x:v>
      </x:c>
    </x:row>
    <x:row r="340" customHeight="1">
      <x:c r="A340" s="389">
        <x:v>8452219000</x:v>
      </x:c>
      <x:c r="B340" s="389" t="s">
        <x:v>686</x:v>
      </x:c>
      <x:c r="D340" s="390" t="s">
        <x:v>687</x:v>
      </x:c>
    </x:row>
    <x:row r="341" customHeight="1">
      <x:c r="A341" s="389">
        <x:v>8452219000</x:v>
      </x:c>
      <x:c r="B341" s="389" t="s">
        <x:v>688</x:v>
      </x:c>
      <x:c r="D341" s="390" t="s">
        <x:v>689</x:v>
      </x:c>
    </x:row>
    <x:row r="342" customHeight="1">
      <x:c r="A342" s="389">
        <x:v>8467299000</x:v>
      </x:c>
      <x:c r="B342" s="389" t="s">
        <x:v>690</x:v>
      </x:c>
      <x:c r="D342" s="390" t="s">
        <x:v>691</x:v>
      </x:c>
    </x:row>
    <x:row r="343" customHeight="1">
      <x:c r="A343" s="389">
        <x:v>8467991000</x:v>
      </x:c>
      <x:c r="B343" s="389" t="s">
        <x:v>692</x:v>
      </x:c>
      <x:c r="D343" s="390" t="s">
        <x:v>693</x:v>
      </x:c>
    </x:row>
    <x:row r="344" customHeight="1">
      <x:c r="A344" s="389">
        <x:v>8467991000</x:v>
      </x:c>
      <x:c r="B344" s="389" t="s">
        <x:v>694</x:v>
      </x:c>
      <x:c r="D344" s="390" t="s">
        <x:v>695</x:v>
      </x:c>
    </x:row>
    <x:row r="345" customHeight="1">
      <x:c r="A345" s="389">
        <x:v>8467991000</x:v>
      </x:c>
      <x:c r="B345" s="389" t="s">
        <x:v>696</x:v>
      </x:c>
      <x:c r="D345" s="390" t="s">
        <x:v>697</x:v>
      </x:c>
    </x:row>
    <x:row r="346" customHeight="1">
      <x:c r="A346" s="389">
        <x:v>8467991000</x:v>
      </x:c>
      <x:c r="B346" s="389" t="s">
        <x:v>698</x:v>
      </x:c>
      <x:c r="D346" s="390" t="s">
        <x:v>699</x:v>
      </x:c>
    </x:row>
    <x:row r="347" customHeight="1">
      <x:c r="A347" s="389">
        <x:v>9503009000</x:v>
      </x:c>
      <x:c r="B347" s="389" t="s">
        <x:v>700</x:v>
      </x:c>
      <x:c r="D347" s="390" t="s">
        <x:v>429</x:v>
      </x:c>
    </x:row>
    <x:row r="348" customHeight="1">
      <x:c r="A348" s="389">
        <x:v>8423819010</x:v>
      </x:c>
      <x:c r="B348" s="389" t="s">
        <x:v>701</x:v>
      </x:c>
      <x:c r="D348" s="390" t="s">
        <x:v>702</x:v>
      </x:c>
    </x:row>
    <x:row r="349" s="389" customFormat="1" customHeight="1">
      <x:c r="A349" s="389">
        <x:v>4819100000</x:v>
      </x:c>
      <x:c r="B349" s="389" t="s">
        <x:v>703</x:v>
      </x:c>
      <x:c r="D349" s="390" t="s">
        <x:v>266</x:v>
      </x:c>
    </x:row>
    <x:row r="350" customHeight="1">
      <x:c r="A350" s="389">
        <x:v>8467299000</x:v>
      </x:c>
      <x:c r="B350" s="389" t="s">
        <x:v>704</x:v>
      </x:c>
      <x:c r="D350" s="390" t="s">
        <x:v>705</x:v>
      </x:c>
    </x:row>
    <x:row r="351" customHeight="1">
      <x:c r="A351" s="389">
        <x:v>8467991000</x:v>
      </x:c>
      <x:c r="B351" s="389" t="s">
        <x:v>706</x:v>
      </x:c>
      <x:c r="D351" s="390" t="s">
        <x:v>707</x:v>
      </x:c>
    </x:row>
    <x:row r="352" customHeight="1">
      <x:c r="A352" s="389">
        <x:v>4819100000</x:v>
      </x:c>
      <x:c r="B352" s="389" t="s">
        <x:v>708</x:v>
      </x:c>
      <x:c r="D352" s="390" t="s">
        <x:v>503</x:v>
      </x:c>
    </x:row>
    <x:row r="353" customHeight="1">
      <x:c r="A353" s="389">
        <x:v>3923900000</x:v>
      </x:c>
      <x:c r="B353" s="389" t="s">
        <x:v>709</x:v>
      </x:c>
      <x:c r="D353" s="390" t="s">
        <x:v>290</x:v>
      </x:c>
    </x:row>
    <x:row r="354" customHeight="1">
      <x:c r="A354" s="389">
        <x:v>8503200000</x:v>
      </x:c>
      <x:c r="B354" s="389" t="s">
        <x:v>710</x:v>
      </x:c>
      <x:c r="D354" s="390" t="s">
        <x:v>711</x:v>
      </x:c>
    </x:row>
    <x:row r="355" customHeight="1">
      <x:c r="A355" s="391">
        <x:v>8451500000</x:v>
      </x:c>
      <x:c r="B355" s="392" t="s">
        <x:v>712</x:v>
      </x:c>
      <x:c r="C355" s="392"/>
      <x:c r="D355" s="394" t="s">
        <x:v>713</x:v>
      </x:c>
    </x:row>
    <x:row r="356" s="389" customFormat="1" customHeight="1">
      <x:c r="A356" s="391">
        <x:v>8451900000</x:v>
      </x:c>
      <x:c r="B356" s="392" t="s">
        <x:v>714</x:v>
      </x:c>
      <x:c r="C356" s="392"/>
      <x:c r="D356" s="394" t="s">
        <x:v>715</x:v>
      </x:c>
    </x:row>
    <x:row r="357" s="389" customFormat="1" customHeight="1">
      <x:c r="A357" s="391">
        <x:v>6804211000</x:v>
      </x:c>
      <x:c r="B357" s="392" t="s">
        <x:v>716</x:v>
      </x:c>
      <x:c r="C357" s="392"/>
      <x:c r="D357" s="394" t="s">
        <x:v>717</x:v>
      </x:c>
    </x:row>
    <x:row r="358" s="389" customFormat="1" customHeight="1">
      <x:c r="A358" s="389">
        <x:v>3923900000</x:v>
      </x:c>
      <x:c r="B358" s="389" t="s">
        <x:v>718</x:v>
      </x:c>
      <x:c r="D358" s="390" t="s">
        <x:v>290</x:v>
      </x:c>
    </x:row>
    <x:row r="359" s="389" customFormat="1" customHeight="1">
      <x:c r="A359" s="389">
        <x:v>8516800000</x:v>
      </x:c>
      <x:c r="B359" s="389" t="s">
        <x:v>719</x:v>
      </x:c>
      <x:c r="D359" s="390" t="s">
        <x:v>556</x:v>
      </x:c>
    </x:row>
    <x:row r="360" s="389" customFormat="1" customHeight="1">
      <x:c r="A360" s="391">
        <x:v>8516800000</x:v>
      </x:c>
      <x:c r="B360" s="392" t="s">
        <x:v>720</x:v>
      </x:c>
      <x:c r="C360" s="392"/>
      <x:c r="D360" s="394" t="s">
        <x:v>721</x:v>
      </x:c>
    </x:row>
    <x:row r="361" customHeight="1">
      <x:c r="A361" s="389">
        <x:v>8480790000</x:v>
      </x:c>
      <x:c r="B361" s="389" t="s">
        <x:v>722</x:v>
      </x:c>
    </x:row>
    <x:row r="362" customHeight="1">
      <x:c r="A362" s="389">
        <x:v>9503009000</x:v>
      </x:c>
      <x:c r="B362" s="389" t="s">
        <x:v>723</x:v>
      </x:c>
      <x:c r="D362" s="390" t="s">
        <x:v>429</x:v>
      </x:c>
    </x:row>
    <x:row r="363" customHeight="1">
      <x:c r="A363" s="389">
        <x:v>7326909000</x:v>
      </x:c>
      <x:c r="B363" s="389" t="s">
        <x:v>724</x:v>
      </x:c>
      <x:c r="D363" s="390" t="s">
        <x:v>582</x:v>
      </x:c>
    </x:row>
    <x:row r="364" customHeight="1">
      <x:c r="A364" s="389">
        <x:v>8480790000</x:v>
      </x:c>
      <x:c r="B364" s="389" t="s">
        <x:v>725</x:v>
      </x:c>
      <x:c r="D364" s="390" t="s">
        <x:v>413</x:v>
      </x:c>
    </x:row>
    <x:row r="365" customHeight="1">
      <x:c r="A365" s="389">
        <x:v>9004909000</x:v>
      </x:c>
      <x:c r="B365" s="389" t="s">
        <x:v>726</x:v>
      </x:c>
      <x:c r="D365" s="390" t="s">
        <x:v>727</x:v>
      </x:c>
    </x:row>
    <x:row r="366" customHeight="1">
      <x:c r="A366" s="389">
        <x:v>7326901990</x:v>
      </x:c>
      <x:c r="B366" s="389" t="s">
        <x:v>728</x:v>
      </x:c>
      <x:c r="D366" s="390" t="s">
        <x:v>729</x:v>
      </x:c>
    </x:row>
    <x:row r="367" customHeight="1">
      <x:c r="A367" s="391">
        <x:v>4821100000</x:v>
      </x:c>
      <x:c r="B367" s="392" t="s">
        <x:v>730</x:v>
      </x:c>
      <x:c r="C367" s="392"/>
      <x:c r="D367" s="395" t="s">
        <x:v>731</x:v>
      </x:c>
    </x:row>
    <x:row r="368" customHeight="1">
      <x:c r="A368" s="391">
        <x:v>4821100000</x:v>
      </x:c>
      <x:c r="B368" s="392" t="s">
        <x:v>732</x:v>
      </x:c>
      <x:c r="C368" s="392"/>
      <x:c r="D368" s="393" t="s">
        <x:v>733</x:v>
      </x:c>
    </x:row>
    <x:row r="369" customHeight="1">
      <x:c r="A369" s="389">
        <x:v>3702442100</x:v>
      </x:c>
      <x:c r="B369" s="389" t="s">
        <x:v>734</x:v>
      </x:c>
      <x:c r="D369" s="390" t="s">
        <x:v>735</x:v>
      </x:c>
    </x:row>
    <x:row r="370" s="389" customFormat="1" customHeight="1">
      <x:c r="A370" s="389">
        <x:v>8480790000</x:v>
      </x:c>
      <x:c r="B370" s="389" t="s">
        <x:v>736</x:v>
      </x:c>
      <x:c r="D370" s="390" t="s">
        <x:v>413</x:v>
      </x:c>
    </x:row>
    <x:row r="371" s="389" customFormat="1" customHeight="1">
      <x:c r="A371" s="391">
        <x:v>8422400090</x:v>
      </x:c>
      <x:c r="B371" s="392" t="s">
        <x:v>737</x:v>
      </x:c>
      <x:c r="C371" s="392"/>
      <x:c r="D371" s="394" t="s">
        <x:v>738</x:v>
      </x:c>
    </x:row>
    <x:row r="372" customHeight="1">
      <x:c r="A372" s="389">
        <x:v>7326909000</x:v>
      </x:c>
      <x:c r="B372" s="389" t="s">
        <x:v>739</x:v>
      </x:c>
      <x:c r="D372" s="390" t="s">
        <x:v>564</x:v>
      </x:c>
    </x:row>
    <x:row r="373" customHeight="1">
      <x:c r="A373" s="389">
        <x:v>8480790000</x:v>
      </x:c>
      <x:c r="B373" s="389" t="s">
        <x:v>740</x:v>
      </x:c>
      <x:c r="D373" s="390" t="s">
        <x:v>741</x:v>
      </x:c>
    </x:row>
    <x:row r="374" customHeight="1">
      <x:c r="A374" s="389">
        <x:v>8414599099</x:v>
      </x:c>
      <x:c r="B374" s="389" t="s">
        <x:v>742</x:v>
      </x:c>
      <x:c r="D374" s="390" t="s">
        <x:v>743</x:v>
      </x:c>
    </x:row>
    <x:row r="375" customHeight="1">
      <x:c r="A375" s="391">
        <x:v>7326909090</x:v>
      </x:c>
      <x:c r="B375" s="392" t="s">
        <x:v>744</x:v>
      </x:c>
      <x:c r="C375" s="392"/>
      <x:c r="D375" s="395" t="s">
        <x:v>413</x:v>
      </x:c>
    </x:row>
    <x:row r="376" customHeight="1">
      <x:c r="A376" s="389">
        <x:v>5806310000</x:v>
      </x:c>
      <x:c r="B376" s="389" t="s">
        <x:v>745</x:v>
      </x:c>
      <x:c r="D376" s="390" t="s">
        <x:v>746</x:v>
      </x:c>
    </x:row>
    <x:row r="377" customHeight="1">
      <x:c r="A377" s="389">
        <x:v>3926909090</x:v>
      </x:c>
      <x:c r="B377" s="389" t="s">
        <x:v>747</x:v>
      </x:c>
      <x:c r="D377" s="390" t="s">
        <x:v>748</x:v>
      </x:c>
    </x:row>
    <x:row r="378" customHeight="1">
      <x:c r="A378" s="389">
        <x:v>8451210000</x:v>
      </x:c>
      <x:c r="B378" s="389" t="s">
        <x:v>749</x:v>
      </x:c>
      <x:c r="D378" s="390" t="s">
        <x:v>750</x:v>
      </x:c>
    </x:row>
    <x:row r="379" customHeight="1">
      <x:c r="A379" s="389">
        <x:v>8419399090</x:v>
      </x:c>
      <x:c r="B379" s="389" t="s">
        <x:v>751</x:v>
      </x:c>
      <x:c r="D379" s="390" t="s">
        <x:v>752</x:v>
      </x:c>
    </x:row>
    <x:row r="380" customHeight="1">
      <x:c r="A380" s="391">
        <x:v>7326909000</x:v>
      </x:c>
      <x:c r="B380" s="392" t="s">
        <x:v>753</x:v>
      </x:c>
      <x:c r="C380" s="392"/>
      <x:c r="D380" s="393" t="s">
        <x:v>405</x:v>
      </x:c>
    </x:row>
    <x:row r="381" customHeight="1">
      <x:c r="A381" s="389">
        <x:v>7326901990</x:v>
      </x:c>
      <x:c r="B381" s="389" t="s">
        <x:v>754</x:v>
      </x:c>
    </x:row>
    <x:row r="382" customHeight="1">
      <x:c r="A382" s="389">
        <x:v>3919109900</x:v>
      </x:c>
      <x:c r="B382" s="389" t="s">
        <x:v>755</x:v>
      </x:c>
      <x:c r="D382" s="390" t="s">
        <x:v>756</x:v>
      </x:c>
    </x:row>
    <x:row r="383" customHeight="1">
      <x:c r="A383" s="389">
        <x:v>8443999090</x:v>
      </x:c>
      <x:c r="B383" s="389" t="s">
        <x:v>757</x:v>
      </x:c>
      <x:c r="D383" s="390" t="s">
        <x:v>284</x:v>
      </x:c>
    </x:row>
    <x:row r="384" customHeight="1">
      <x:c r="A384" s="391">
        <x:v>8477800000</x:v>
      </x:c>
      <x:c r="B384" s="392" t="s">
        <x:v>758</x:v>
      </x:c>
      <x:c r="C384" s="392"/>
      <x:c r="D384" s="394" t="s">
        <x:v>759</x:v>
      </x:c>
    </x:row>
    <x:row r="385" customHeight="1">
      <x:c r="A385" s="389">
        <x:v>8480790000</x:v>
      </x:c>
      <x:c r="B385" s="389" t="s">
        <x:v>760</x:v>
      </x:c>
      <x:c r="D385" s="390" t="s">
        <x:v>413</x:v>
      </x:c>
    </x:row>
    <x:row r="386" customHeight="1">
      <x:c r="A386" s="389">
        <x:v>7326909000</x:v>
      </x:c>
      <x:c r="B386" s="389" t="s">
        <x:v>761</x:v>
      </x:c>
      <x:c r="D386" s="390" t="s">
        <x:v>405</x:v>
      </x:c>
    </x:row>
    <x:row r="387" customHeight="1">
      <x:c r="A387" s="389">
        <x:v>7308900000</x:v>
      </x:c>
      <x:c r="B387" s="389" t="s">
        <x:v>762</x:v>
      </x:c>
      <x:c r="D387" s="390" t="s">
        <x:v>763</x:v>
      </x:c>
    </x:row>
    <x:row r="388" customHeight="1">
      <x:c r="A388" s="389">
        <x:v>7308900000</x:v>
      </x:c>
      <x:c r="B388" s="389" t="s">
        <x:v>764</x:v>
      </x:c>
      <x:c r="D388" s="390" t="s">
        <x:v>765</x:v>
      </x:c>
    </x:row>
    <x:row r="389" s="389" customFormat="1" customHeight="1">
      <x:c r="A389" s="391">
        <x:v>8452219000</x:v>
      </x:c>
      <x:c r="B389" s="392" t="s">
        <x:v>766</x:v>
      </x:c>
      <x:c r="C389" s="392"/>
      <x:c r="D389" s="394" t="s">
        <x:v>767</x:v>
      </x:c>
    </x:row>
    <x:row r="390" customHeight="1">
      <x:c r="A390" s="389">
        <x:v>8443322100</x:v>
      </x:c>
      <x:c r="B390" s="389" t="s">
        <x:v>768</x:v>
      </x:c>
      <x:c r="D390" s="390" t="s">
        <x:v>769</x:v>
      </x:c>
    </x:row>
    <x:row r="391" customHeight="1">
      <x:c r="A391" s="389">
        <x:v>8508190000</x:v>
      </x:c>
      <x:c r="B391" s="389" t="s">
        <x:v>770</x:v>
      </x:c>
    </x:row>
    <x:row r="392" customHeight="1">
      <x:c r="A392" s="391">
        <x:v>9403100000</x:v>
      </x:c>
      <x:c r="B392" s="392" t="s">
        <x:v>771</x:v>
      </x:c>
      <x:c r="C392" s="392"/>
      <x:c r="D392" s="394" t="s">
        <x:v>772</x:v>
      </x:c>
    </x:row>
    <x:row r="393" customHeight="1">
      <x:c r="A393" s="389">
        <x:v>4819100000</x:v>
      </x:c>
      <x:c r="B393" s="389" t="s">
        <x:v>773</x:v>
      </x:c>
      <x:c r="D393" s="390" t="s">
        <x:v>578</x:v>
      </x:c>
    </x:row>
    <x:row r="394" customHeight="1">
      <x:c r="A394" s="389">
        <x:v>3923900000</x:v>
      </x:c>
      <x:c r="B394" s="389" t="s">
        <x:v>774</x:v>
      </x:c>
      <x:c r="D394" s="390" t="s">
        <x:v>290</x:v>
      </x:c>
    </x:row>
    <x:row r="395" customHeight="1">
      <x:c r="A395" s="391">
        <x:v>8479909090</x:v>
      </x:c>
      <x:c r="B395" s="392" t="s">
        <x:v>775</x:v>
      </x:c>
      <x:c r="C395" s="392"/>
      <x:c r="D395" s="393" t="s">
        <x:v>776</x:v>
      </x:c>
    </x:row>
    <x:row r="396" s="389" customFormat="1" customHeight="1">
      <x:c r="A396" s="389">
        <x:v>4819200000</x:v>
      </x:c>
      <x:c r="B396" s="389" t="s">
        <x:v>777</x:v>
      </x:c>
      <x:c r="D396" s="390" t="s">
        <x:v>503</x:v>
      </x:c>
    </x:row>
    <x:row r="397" customHeight="1">
      <x:c r="A397" s="391">
        <x:v>8302200000</x:v>
      </x:c>
      <x:c r="B397" s="392" t="s">
        <x:v>778</x:v>
      </x:c>
      <x:c r="C397" s="392"/>
      <x:c r="D397" s="393" t="s">
        <x:v>779</x:v>
      </x:c>
    </x:row>
    <x:row r="398" customHeight="1">
      <x:c r="A398" s="389">
        <x:v>3923900000</x:v>
      </x:c>
      <x:c r="B398" s="389" t="s">
        <x:v>780</x:v>
      </x:c>
      <x:c r="D398" s="390" t="s">
        <x:v>385</x:v>
      </x:c>
    </x:row>
    <x:row r="399" customHeight="1">
      <x:c r="A399" s="391">
        <x:v>3923900000</x:v>
      </x:c>
      <x:c r="B399" s="392" t="s">
        <x:v>781</x:v>
      </x:c>
      <x:c r="C399" s="392"/>
      <x:c r="D399" s="393" t="s">
        <x:v>290</x:v>
      </x:c>
    </x:row>
    <x:row r="400" customHeight="1">
      <x:c r="A400" s="391">
        <x:v>3926909090</x:v>
      </x:c>
      <x:c r="B400" s="392" t="s">
        <x:v>782</x:v>
      </x:c>
      <x:c r="C400" s="392"/>
      <x:c r="D400" s="393" t="s">
        <x:v>783</x:v>
      </x:c>
    </x:row>
    <x:row r="401" customHeight="1">
      <x:c r="A401" s="389">
        <x:v>8443999090</x:v>
      </x:c>
      <x:c r="B401" s="389" t="s">
        <x:v>784</x:v>
      </x:c>
      <x:c r="D401" s="390" t="s">
        <x:v>284</x:v>
      </x:c>
    </x:row>
    <x:row r="402" customHeight="1">
      <x:c r="A402" s="391">
        <x:v>3926909090</x:v>
      </x:c>
      <x:c r="B402" s="392" t="s">
        <x:v>785</x:v>
      </x:c>
      <x:c r="C402" s="392"/>
      <x:c r="D402" s="393" t="s">
        <x:v>783</x:v>
      </x:c>
    </x:row>
    <x:row r="403" customHeight="1">
      <x:c r="A403" s="391">
        <x:v>3926909090</x:v>
      </x:c>
      <x:c r="B403" s="392" t="s">
        <x:v>786</x:v>
      </x:c>
      <x:c r="C403" s="392"/>
      <x:c r="D403" s="393" t="s">
        <x:v>783</x:v>
      </x:c>
    </x:row>
    <x:row r="404" customHeight="1">
      <x:c r="A404" s="389">
        <x:v>7326909000</x:v>
      </x:c>
      <x:c r="B404" s="389" t="s">
        <x:v>787</x:v>
      </x:c>
      <x:c r="D404" s="390" t="s">
        <x:v>788</x:v>
      </x:c>
    </x:row>
    <x:row r="405" customHeight="1">
      <x:c r="A405" s="389">
        <x:v>8443999090</x:v>
      </x:c>
      <x:c r="B405" s="389" t="s">
        <x:v>789</x:v>
      </x:c>
      <x:c r="D405" s="390" t="s">
        <x:v>284</x:v>
      </x:c>
    </x:row>
    <x:row r="406" customHeight="1">
      <x:c r="A406" s="389">
        <x:v>8468900000</x:v>
      </x:c>
      <x:c r="B406" s="389" t="s">
        <x:v>790</x:v>
      </x:c>
      <x:c r="D406" s="390" t="s">
        <x:v>671</x:v>
      </x:c>
    </x:row>
    <x:row r="407" customHeight="1">
      <x:c r="A407" s="391">
        <x:v>8467920000</x:v>
      </x:c>
      <x:c r="B407" s="392" t="s">
        <x:v>791</x:v>
      </x:c>
      <x:c r="C407" s="392"/>
      <x:c r="D407" s="393" t="s">
        <x:v>792</x:v>
      </x:c>
    </x:row>
    <x:row r="408" customHeight="1">
      <x:c r="A408" s="389">
        <x:v>8467920000</x:v>
      </x:c>
      <x:c r="B408" s="389" t="s">
        <x:v>793</x:v>
      </x:c>
      <x:c r="D408" s="390" t="s">
        <x:v>794</x:v>
      </x:c>
    </x:row>
    <x:row r="409" customHeight="1">
      <x:c r="A409" s="389">
        <x:v>8302100000</x:v>
      </x:c>
      <x:c r="B409" s="389" t="s">
        <x:v>795</x:v>
      </x:c>
      <x:c r="D409" s="390" t="s">
        <x:v>796</x:v>
      </x:c>
    </x:row>
    <x:row r="410" customHeight="1">
      <x:c r="A410" s="389">
        <x:v>8480790000</x:v>
      </x:c>
      <x:c r="B410" s="389" t="s">
        <x:v>797</x:v>
      </x:c>
      <x:c r="D410" s="390" t="s">
        <x:v>413</x:v>
      </x:c>
    </x:row>
    <x:row r="411" customHeight="1">
      <x:c r="A411" s="389">
        <x:v>5609000000</x:v>
      </x:c>
      <x:c r="B411" s="389" t="s">
        <x:v>798</x:v>
      </x:c>
      <x:c r="D411" s="390" t="s">
        <x:v>799</x:v>
      </x:c>
    </x:row>
    <x:row r="412" customHeight="1">
      <x:c r="A412" s="389">
        <x:v>5806320000</x:v>
      </x:c>
      <x:c r="B412" s="389" t="s">
        <x:v>800</x:v>
      </x:c>
      <x:c r="D412" s="390" t="s">
        <x:v>245</x:v>
      </x:c>
    </x:row>
    <x:row r="413" customHeight="1">
      <x:c r="A413" s="391">
        <x:v>8479909090</x:v>
      </x:c>
      <x:c r="B413" s="392" t="s">
        <x:v>801</x:v>
      </x:c>
      <x:c r="C413" s="392"/>
      <x:c r="D413" s="393" t="s">
        <x:v>776</x:v>
      </x:c>
    </x:row>
    <x:row r="414" customHeight="1">
      <x:c r="A414" s="389">
        <x:v>9503009000</x:v>
      </x:c>
      <x:c r="B414" s="389" t="s">
        <x:v>802</x:v>
      </x:c>
      <x:c r="D414" s="390" t="s">
        <x:v>803</x:v>
      </x:c>
    </x:row>
    <x:row r="415" customHeight="1">
      <x:c r="A415" s="389">
        <x:v>8452300000</x:v>
      </x:c>
      <x:c r="B415" s="389" t="s">
        <x:v>804</x:v>
      </x:c>
      <x:c r="D415" s="390" t="s">
        <x:v>805</x:v>
      </x:c>
    </x:row>
    <x:row r="416" s="389" customFormat="1" customHeight="1">
      <x:c r="A416" s="391">
        <x:v>4819200000</x:v>
      </x:c>
      <x:c r="B416" s="392" t="s">
        <x:v>806</x:v>
      </x:c>
      <x:c r="C416" s="392"/>
      <x:c r="D416" s="393" t="s">
        <x:v>503</x:v>
      </x:c>
    </x:row>
    <x:row r="417" customHeight="1">
      <x:c r="A417" s="389">
        <x:v>9503009000</x:v>
      </x:c>
      <x:c r="B417" s="389" t="s">
        <x:v>807</x:v>
      </x:c>
      <x:c r="D417" s="390" t="s">
        <x:v>808</x:v>
      </x:c>
    </x:row>
    <x:row r="418" customHeight="1">
      <x:c r="A418" s="389">
        <x:v>8480790000</x:v>
      </x:c>
      <x:c r="B418" s="389" t="s">
        <x:v>809</x:v>
      </x:c>
      <x:c r="D418" s="390" t="s">
        <x:v>413</x:v>
      </x:c>
    </x:row>
    <x:row r="419" customHeight="1">
      <x:c r="A419" s="389">
        <x:v>7326909000</x:v>
      </x:c>
      <x:c r="B419" s="389" t="s">
        <x:v>810</x:v>
      </x:c>
      <x:c r="D419" s="390" t="s">
        <x:v>405</x:v>
      </x:c>
    </x:row>
    <x:row r="420" customHeight="1">
      <x:c r="A420" s="389">
        <x:v>8480790000</x:v>
      </x:c>
      <x:c r="B420" s="389" t="s">
        <x:v>811</x:v>
      </x:c>
      <x:c r="D420" s="390" t="s">
        <x:v>413</x:v>
      </x:c>
    </x:row>
    <x:row r="421" customHeight="1">
      <x:c r="A421" s="389">
        <x:v>7326909000</x:v>
      </x:c>
      <x:c r="B421" s="389" t="s">
        <x:v>812</x:v>
      </x:c>
      <x:c r="D421" s="390" t="s">
        <x:v>405</x:v>
      </x:c>
    </x:row>
    <x:row r="422" customHeight="1">
      <x:c r="A422" s="389">
        <x:v>8480790000</x:v>
      </x:c>
      <x:c r="B422" s="389" t="s">
        <x:v>813</x:v>
      </x:c>
      <x:c r="D422" s="390" t="s">
        <x:v>413</x:v>
      </x:c>
    </x:row>
    <x:row r="423" customHeight="1">
      <x:c r="A423" s="389">
        <x:v>8480790000</x:v>
      </x:c>
      <x:c r="B423" s="389" t="s">
        <x:v>814</x:v>
      </x:c>
      <x:c r="D423" s="390" t="s">
        <x:v>413</x:v>
      </x:c>
    </x:row>
    <x:row r="424" customHeight="1">
      <x:c r="A424" s="389">
        <x:v>8480790000</x:v>
      </x:c>
      <x:c r="B424" s="389" t="s">
        <x:v>815</x:v>
      </x:c>
      <x:c r="D424" s="390" t="s">
        <x:v>413</x:v>
      </x:c>
    </x:row>
    <x:row r="425" customHeight="1">
      <x:c r="A425" s="389">
        <x:v>7326909000</x:v>
      </x:c>
      <x:c r="B425" s="389" t="s">
        <x:v>816</x:v>
      </x:c>
      <x:c r="D425" s="390" t="s">
        <x:v>405</x:v>
      </x:c>
    </x:row>
    <x:row r="426" customHeight="1">
      <x:c r="A426" s="391">
        <x:v>3923900000</x:v>
      </x:c>
      <x:c r="B426" s="392" t="s">
        <x:v>817</x:v>
      </x:c>
      <x:c r="C426" s="392"/>
      <x:c r="D426" s="393" t="s">
        <x:v>290</x:v>
      </x:c>
    </x:row>
    <x:row r="427" customHeight="1">
      <x:c r="A427" s="389">
        <x:v>8480790000</x:v>
      </x:c>
      <x:c r="B427" s="389" t="s">
        <x:v>818</x:v>
      </x:c>
      <x:c r="D427" s="390" t="s">
        <x:v>819</x:v>
      </x:c>
    </x:row>
    <x:row r="428" customHeight="1">
      <x:c r="A428" s="389">
        <x:v>7326909000</x:v>
      </x:c>
      <x:c r="B428" s="389" t="s">
        <x:v>820</x:v>
      </x:c>
      <x:c r="D428" s="390" t="s">
        <x:v>582</x:v>
      </x:c>
    </x:row>
    <x:row r="429" customHeight="1">
      <x:c r="A429" s="389">
        <x:v>7326909000</x:v>
      </x:c>
      <x:c r="B429" s="389" t="s">
        <x:v>821</x:v>
      </x:c>
      <x:c r="D429" s="390" t="s">
        <x:v>582</x:v>
      </x:c>
    </x:row>
    <x:row r="430" customHeight="1">
      <x:c r="A430" s="389">
        <x:v>3923900000</x:v>
      </x:c>
      <x:c r="B430" s="389" t="s">
        <x:v>822</x:v>
      </x:c>
      <x:c r="D430" s="390" t="s">
        <x:v>290</x:v>
      </x:c>
    </x:row>
    <x:row r="431" customHeight="1">
      <x:c r="A431" s="389">
        <x:v>7326909000</x:v>
      </x:c>
      <x:c r="B431" s="389" t="s">
        <x:v>823</x:v>
      </x:c>
      <x:c r="D431" s="390" t="s">
        <x:v>824</x:v>
      </x:c>
    </x:row>
    <x:row r="432" customHeight="1">
      <x:c r="A432" s="389">
        <x:v>8412310090</x:v>
      </x:c>
      <x:c r="B432" s="389" t="s">
        <x:v>825</x:v>
      </x:c>
      <x:c r="D432" s="390" t="s">
        <x:v>826</x:v>
      </x:c>
    </x:row>
    <x:row r="433" customHeight="1">
      <x:c r="A433" s="391">
        <x:v>8302200000</x:v>
      </x:c>
      <x:c r="B433" s="392" t="s">
        <x:v>827</x:v>
      </x:c>
      <x:c r="C433" s="392"/>
      <x:c r="D433" s="393" t="s">
        <x:v>779</x:v>
      </x:c>
    </x:row>
    <x:row r="434" customHeight="1">
      <x:c r="A434" s="389">
        <x:v>7308900000</x:v>
      </x:c>
      <x:c r="B434" s="389" t="s">
        <x:v>828</x:v>
      </x:c>
      <x:c r="D434" s="390" t="s">
        <x:v>829</x:v>
      </x:c>
    </x:row>
    <x:row r="435" customHeight="1">
      <x:c r="A435" s="389">
        <x:v>8501109990</x:v>
      </x:c>
      <x:c r="B435" s="389" t="s">
        <x:v>830</x:v>
      </x:c>
      <x:c r="D435" s="390" t="s">
        <x:v>831</x:v>
      </x:c>
    </x:row>
    <x:row r="436" customHeight="1">
      <x:c r="A436" s="389">
        <x:v>4821100000</x:v>
      </x:c>
      <x:c r="B436" s="392" t="s">
        <x:v>832</x:v>
      </x:c>
      <x:c r="D436" s="390" t="s">
        <x:v>833</x:v>
      </x:c>
    </x:row>
    <x:row r="437" customHeight="1">
      <x:c r="A437" s="391">
        <x:v>4821100000</x:v>
      </x:c>
      <x:c r="B437" s="392" t="s">
        <x:v>834</x:v>
      </x:c>
      <x:c r="C437" s="392"/>
      <x:c r="D437" s="394" t="s">
        <x:v>835</x:v>
      </x:c>
    </x:row>
    <x:row r="438" customHeight="1">
      <x:c r="A438" s="391">
        <x:v>4821100000</x:v>
      </x:c>
      <x:c r="B438" s="392" t="s">
        <x:v>836</x:v>
      </x:c>
      <x:c r="C438" s="392"/>
      <x:c r="D438" s="393" t="s">
        <x:v>837</x:v>
      </x:c>
    </x:row>
    <x:row r="439" customHeight="1">
      <x:c r="A439" s="389">
        <x:v>7326909000</x:v>
      </x:c>
      <x:c r="B439" s="392" t="s">
        <x:v>838</x:v>
      </x:c>
      <x:c r="D439" s="390" t="s">
        <x:v>405</x:v>
      </x:c>
    </x:row>
    <x:row r="440" customHeight="1">
      <x:c r="A440" s="389">
        <x:v>8456110090</x:v>
      </x:c>
      <x:c r="B440" s="392" t="s">
        <x:v>839</x:v>
      </x:c>
      <x:c r="D440" s="390" t="s">
        <x:v>840</x:v>
      </x:c>
    </x:row>
    <x:row r="441" customHeight="1">
      <x:c r="A441" s="389">
        <x:v>8452219000</x:v>
      </x:c>
      <x:c r="B441" s="392" t="s">
        <x:v>841</x:v>
      </x:c>
      <x:c r="D441" s="390" t="s">
        <x:v>842</x:v>
      </x:c>
    </x:row>
    <x:row r="442" customHeight="1">
      <x:c r="A442" s="389">
        <x:v>8456110090</x:v>
      </x:c>
      <x:c r="B442" s="392" t="s">
        <x:v>843</x:v>
      </x:c>
      <x:c r="D442" s="390" t="s">
        <x:v>844</x:v>
      </x:c>
    </x:row>
    <x:row r="443" customHeight="1">
      <x:c r="A443" s="389">
        <x:v>8421392990</x:v>
      </x:c>
      <x:c r="B443" s="392" t="s">
        <x:v>845</x:v>
      </x:c>
      <x:c r="D443" s="390" t="s">
        <x:v>846</x:v>
      </x:c>
    </x:row>
    <x:row r="444" customHeight="1">
      <x:c r="A444" s="389">
        <x:v>8423819010</x:v>
      </x:c>
      <x:c r="B444" s="392" t="s">
        <x:v>847</x:v>
      </x:c>
      <x:c r="D444" s="390" t="s">
        <x:v>848</x:v>
      </x:c>
    </x:row>
    <x:row r="445" customHeight="1">
      <x:c r="A445" s="389">
        <x:v>9029101000</x:v>
      </x:c>
      <x:c r="B445" s="392" t="s">
        <x:v>849</x:v>
      </x:c>
      <x:c r="D445" s="390" t="s">
        <x:v>850</x:v>
      </x:c>
    </x:row>
    <x:row r="446" customHeight="1">
      <x:c r="A446" s="389">
        <x:v>8480790000</x:v>
      </x:c>
      <x:c r="B446" s="392" t="s">
        <x:v>851</x:v>
      </x:c>
    </x:row>
    <x:row r="447" customHeight="1">
      <x:c r="A447" s="389">
        <x:v>8480790000</x:v>
      </x:c>
      <x:c r="B447" s="392" t="s">
        <x:v>852</x:v>
      </x:c>
    </x:row>
    <x:row r="448" customHeight="1">
      <x:c r="A448" s="389">
        <x:v>8480790000</x:v>
      </x:c>
      <x:c r="B448" s="392" t="s">
        <x:v>853</x:v>
      </x:c>
    </x:row>
    <x:row r="449" customHeight="1">
      <x:c r="A449" s="389">
        <x:v>8480790000</x:v>
      </x:c>
      <x:c r="B449" s="392" t="s">
        <x:v>854</x:v>
      </x:c>
    </x:row>
    <x:row r="450" s="389" customFormat="1" customHeight="1">
      <x:c r="A450" s="389">
        <x:v>8480790000</x:v>
      </x:c>
      <x:c r="B450" s="392" t="s">
        <x:v>855</x:v>
      </x:c>
      <x:c r="D450" s="390"/>
    </x:row>
    <x:row r="451" s="389" customFormat="1" customHeight="1">
      <x:c r="A451" s="389">
        <x:v>7326909000</x:v>
      </x:c>
      <x:c r="B451" s="392" t="s">
        <x:v>856</x:v>
      </x:c>
      <x:c r="D451" s="390" t="s">
        <x:v>286</x:v>
      </x:c>
    </x:row>
    <x:row r="452" customHeight="1">
      <x:c r="A452" s="389">
        <x:v>7326909000</x:v>
      </x:c>
      <x:c r="B452" s="392" t="s">
        <x:v>857</x:v>
      </x:c>
      <x:c r="D452" s="390" t="s">
        <x:v>286</x:v>
      </x:c>
    </x:row>
    <x:row r="453" customHeight="1">
      <x:c r="A453" s="389">
        <x:v>8443999090</x:v>
      </x:c>
      <x:c r="B453" s="392" t="s">
        <x:v>858</x:v>
      </x:c>
      <x:c r="D453" s="390" t="s">
        <x:v>284</x:v>
      </x:c>
    </x:row>
    <x:row r="454" customHeight="1">
      <x:c r="A454" s="391">
        <x:v>8479909090</x:v>
      </x:c>
      <x:c r="B454" s="392" t="s">
        <x:v>859</x:v>
      </x:c>
      <x:c r="C454" s="392"/>
      <x:c r="D454" s="394" t="s">
        <x:v>776</x:v>
      </x:c>
    </x:row>
    <x:row r="455" customHeight="1">
      <x:c r="A455" s="389">
        <x:v>4819100000</x:v>
      </x:c>
      <x:c r="B455" s="392" t="s">
        <x:v>860</x:v>
      </x:c>
      <x:c r="D455" s="390" t="s">
        <x:v>266</x:v>
      </x:c>
    </x:row>
    <x:row r="456" customHeight="1">
      <x:c r="A456" s="389">
        <x:v>4819100000</x:v>
      </x:c>
      <x:c r="B456" s="392" t="s">
        <x:v>861</x:v>
      </x:c>
      <x:c r="D456" s="390" t="s">
        <x:v>266</x:v>
      </x:c>
    </x:row>
    <x:row r="457" customHeight="1">
      <x:c r="A457" s="389">
        <x:v>9503009000</x:v>
      </x:c>
      <x:c r="B457" s="392" t="s">
        <x:v>862</x:v>
      </x:c>
    </x:row>
    <x:row r="458" customHeight="1">
      <x:c r="A458" s="389">
        <x:v>9503009000</x:v>
      </x:c>
      <x:c r="B458" s="392" t="s">
        <x:v>863</x:v>
      </x:c>
      <x:c r="D458" s="390" t="s">
        <x:v>864</x:v>
      </x:c>
    </x:row>
    <x:row r="459" customHeight="1">
      <x:c r="A459" s="389">
        <x:v>3923900000</x:v>
      </x:c>
      <x:c r="B459" s="392" t="s">
        <x:v>865</x:v>
      </x:c>
    </x:row>
    <x:row r="460" customHeight="1">
      <x:c r="A460" s="389">
        <x:v>7326909000</x:v>
      </x:c>
      <x:c r="B460" s="392" t="s">
        <x:v>866</x:v>
      </x:c>
      <x:c r="D460" s="390" t="s">
        <x:v>405</x:v>
      </x:c>
    </x:row>
    <x:row r="461" s="389" customFormat="1" customHeight="1">
      <x:c r="A461" s="389">
        <x:v>4821100000</x:v>
      </x:c>
      <x:c r="B461" s="392" t="s">
        <x:v>867</x:v>
      </x:c>
      <x:c r="D461" s="390" t="s">
        <x:v>868</x:v>
      </x:c>
    </x:row>
    <x:row r="462" customHeight="1">
      <x:c r="A462" s="389">
        <x:v>8480790000</x:v>
      </x:c>
      <x:c r="B462" s="389" t="s">
        <x:v>869</x:v>
      </x:c>
      <x:c r="D462" s="390" t="s">
        <x:v>413</x:v>
      </x:c>
    </x:row>
    <x:row r="463" customHeight="1">
      <x:c r="A463" s="389">
        <x:v>7326909000</x:v>
      </x:c>
      <x:c r="B463" s="389" t="s">
        <x:v>870</x:v>
      </x:c>
      <x:c r="D463" s="390" t="s">
        <x:v>405</x:v>
      </x:c>
    </x:row>
    <x:row r="464" customHeight="1">
      <x:c r="A464" s="389">
        <x:v>8480790000</x:v>
      </x:c>
      <x:c r="B464" s="389" t="s">
        <x:v>871</x:v>
      </x:c>
      <x:c r="D464" s="390" t="s">
        <x:v>413</x:v>
      </x:c>
    </x:row>
    <x:row r="465" s="389" customFormat="1" customHeight="1">
      <x:c r="A465" s="389">
        <x:v>8480790000</x:v>
      </x:c>
      <x:c r="B465" s="389" t="s">
        <x:v>872</x:v>
      </x:c>
      <x:c r="D465" s="390" t="s">
        <x:v>413</x:v>
      </x:c>
    </x:row>
    <x:row r="466" s="389" customFormat="1" customHeight="1">
      <x:c r="A466" s="389">
        <x:v>8480790000</x:v>
      </x:c>
      <x:c r="B466" s="389" t="s">
        <x:v>873</x:v>
      </x:c>
      <x:c r="D466" s="390" t="s">
        <x:v>413</x:v>
      </x:c>
    </x:row>
    <x:row r="467" customHeight="1">
      <x:c r="A467" s="389">
        <x:v>8203200090</x:v>
      </x:c>
      <x:c r="B467" s="389" t="s">
        <x:v>874</x:v>
      </x:c>
      <x:c r="D467" s="390" t="s">
        <x:v>875</x:v>
      </x:c>
    </x:row>
    <x:row r="468" customHeight="1">
      <x:c r="A468" s="389">
        <x:v>9031809090</x:v>
      </x:c>
      <x:c r="B468" s="389" t="s">
        <x:v>876</x:v>
      </x:c>
      <x:c r="D468" s="390" t="s">
        <x:v>877</x:v>
      </x:c>
    </x:row>
    <x:row r="469" customHeight="1">
      <x:c r="A469" s="389">
        <x:v>8203200090</x:v>
      </x:c>
      <x:c r="B469" s="389" t="s">
        <x:v>878</x:v>
      </x:c>
      <x:c r="D469" s="390" t="s">
        <x:v>879</x:v>
      </x:c>
    </x:row>
    <x:row r="470" customHeight="1">
      <x:c r="A470" s="389">
        <x:v>8506101210</x:v>
      </x:c>
      <x:c r="B470" s="389" t="s">
        <x:v>880</x:v>
      </x:c>
      <x:c r="D470" s="390" t="s">
        <x:v>881</x:v>
      </x:c>
    </x:row>
    <x:row r="471" customHeight="1">
      <x:c r="A471" s="389">
        <x:v>3923210000</x:v>
      </x:c>
      <x:c r="B471" s="389" t="s">
        <x:v>882</x:v>
      </x:c>
      <x:c r="D471" s="390" t="s">
        <x:v>447</x:v>
      </x:c>
    </x:row>
    <x:row r="472" customHeight="1">
      <x:c r="A472" s="389">
        <x:v>8480790000</x:v>
      </x:c>
      <x:c r="B472" s="389" t="s">
        <x:v>883</x:v>
      </x:c>
      <x:c r="D472" s="390" t="s">
        <x:v>884</x:v>
      </x:c>
    </x:row>
    <x:row r="473" customHeight="1">
      <x:c r="A473" s="389">
        <x:v>8480790000</x:v>
      </x:c>
      <x:c r="B473" s="389" t="s">
        <x:v>885</x:v>
      </x:c>
      <x:c r="D473" s="390" t="s">
        <x:v>886</x:v>
      </x:c>
    </x:row>
    <x:row r="474" customHeight="1">
      <x:c r="A474" s="389">
        <x:v>3923900000</x:v>
      </x:c>
      <x:c r="B474" s="389" t="s">
        <x:v>887</x:v>
      </x:c>
      <x:c r="D474" s="390" t="s">
        <x:v>888</x:v>
      </x:c>
    </x:row>
    <x:row r="475" customHeight="1">
      <x:c r="A475" s="389">
        <x:v>3926909090</x:v>
      </x:c>
      <x:c r="B475" s="389" t="s">
        <x:v>889</x:v>
      </x:c>
      <x:c r="D475" s="390" t="s">
        <x:v>625</x:v>
      </x:c>
    </x:row>
    <x:row r="476" s="389" customFormat="1" customHeight="1">
      <x:c r="A476" s="389">
        <x:v>3926909090</x:v>
      </x:c>
      <x:c r="B476" s="389" t="s">
        <x:v>890</x:v>
      </x:c>
      <x:c r="D476" s="390" t="s">
        <x:v>449</x:v>
      </x:c>
    </x:row>
    <x:row r="477" customHeight="1">
      <x:c r="A477" s="389">
        <x:v>4811410000</x:v>
      </x:c>
      <x:c r="B477" s="389" t="s">
        <x:v>891</x:v>
      </x:c>
      <x:c r="D477" s="390" t="s">
        <x:v>892</x:v>
      </x:c>
    </x:row>
    <x:row r="478" customHeight="1">
      <x:c r="A478" s="389">
        <x:v>8205590000</x:v>
      </x:c>
      <x:c r="B478" s="389" t="s">
        <x:v>893</x:v>
      </x:c>
      <x:c r="D478" s="390" t="s">
        <x:v>894</x:v>
      </x:c>
    </x:row>
    <x:row r="479" customHeight="1">
      <x:c r="A479" s="391">
        <x:v>8452909900</x:v>
      </x:c>
      <x:c r="B479" s="392" t="s">
        <x:v>895</x:v>
      </x:c>
      <x:c r="C479" s="392"/>
      <x:c r="D479" s="394" t="s">
        <x:v>896</x:v>
      </x:c>
    </x:row>
    <x:row r="480" customHeight="1">
      <x:c r="A480" s="389">
        <x:v>9503009000</x:v>
      </x:c>
      <x:c r="B480" s="389" t="s">
        <x:v>897</x:v>
      </x:c>
    </x:row>
    <x:row r="481" customHeight="1">
      <x:c r="A481" s="391">
        <x:v>7318159090</x:v>
      </x:c>
      <x:c r="B481" s="392" t="s">
        <x:v>898</x:v>
      </x:c>
      <x:c r="C481" s="392"/>
      <x:c r="D481" s="394" t="s">
        <x:v>437</x:v>
      </x:c>
    </x:row>
    <x:row r="482" customHeight="1">
      <x:c r="A482" s="389">
        <x:v>8480790000</x:v>
      </x:c>
      <x:c r="B482" s="389" t="s">
        <x:v>899</x:v>
      </x:c>
    </x:row>
    <x:row r="483" customHeight="1">
      <x:c r="A483" s="389">
        <x:v>4821100000</x:v>
      </x:c>
      <x:c r="B483" s="389" t="s">
        <x:v>900</x:v>
      </x:c>
      <x:c r="D483" s="390" t="s">
        <x:v>901</x:v>
      </x:c>
    </x:row>
    <x:row r="484" customHeight="1">
      <x:c r="A484" s="389">
        <x:v>4821100000</x:v>
      </x:c>
      <x:c r="B484" s="389" t="s">
        <x:v>902</x:v>
      </x:c>
      <x:c r="D484" s="390" t="s">
        <x:v>903</x:v>
      </x:c>
    </x:row>
    <x:row r="485" customHeight="1">
      <x:c r="A485" s="389">
        <x:v>4821100000</x:v>
      </x:c>
      <x:c r="B485" s="389" t="s">
        <x:v>904</x:v>
      </x:c>
      <x:c r="D485" s="390" t="s">
        <x:v>905</x:v>
      </x:c>
    </x:row>
    <x:row r="486" customHeight="1">
      <x:c r="A486" s="399">
        <x:v>4821100000</x:v>
      </x:c>
      <x:c r="B486" s="400" t="s">
        <x:v>906</x:v>
      </x:c>
      <x:c r="C486" s="400"/>
      <x:c r="D486" s="393" t="s">
        <x:v>907</x:v>
      </x:c>
    </x:row>
    <x:row r="487" customHeight="1">
      <x:c r="A487" s="389">
        <x:v>8202100000</x:v>
      </x:c>
      <x:c r="B487" s="389" t="s">
        <x:v>908</x:v>
      </x:c>
      <x:c r="D487" s="390" t="s">
        <x:v>909</x:v>
      </x:c>
    </x:row>
    <x:row r="488" customHeight="1">
      <x:c r="A488" s="389">
        <x:v>3903199000</x:v>
      </x:c>
      <x:c r="B488" s="389" t="s">
        <x:v>910</x:v>
      </x:c>
    </x:row>
    <x:row r="489" customHeight="1">
      <x:c r="A489" s="391">
        <x:v>3902301000</x:v>
      </x:c>
      <x:c r="B489" s="392" t="s">
        <x:v>911</x:v>
      </x:c>
      <x:c r="C489" s="392"/>
      <x:c r="D489" s="401" t="s">
        <x:v>912</x:v>
      </x:c>
    </x:row>
    <x:row r="490" customHeight="1">
      <x:c r="A490" s="391">
        <x:v>4819200000</x:v>
      </x:c>
      <x:c r="B490" s="392" t="s">
        <x:v>913</x:v>
      </x:c>
      <x:c r="C490" s="392"/>
      <x:c r="D490" s="396" t="s">
        <x:v>266</x:v>
      </x:c>
    </x:row>
    <x:row r="491" s="389" customFormat="1" customHeight="1">
      <x:c r="A491" s="391">
        <x:v>4819100000</x:v>
      </x:c>
      <x:c r="B491" s="392" t="s">
        <x:v>914</x:v>
      </x:c>
      <x:c r="C491" s="392"/>
      <x:c r="D491" s="393" t="s">
        <x:v>503</x:v>
      </x:c>
    </x:row>
    <x:row r="492" customHeight="1">
      <x:c r="A492" s="389">
        <x:v>3926909090</x:v>
      </x:c>
      <x:c r="B492" s="389" t="s">
        <x:v>915</x:v>
      </x:c>
      <x:c r="D492" s="390" t="s">
        <x:v>916</x:v>
      </x:c>
    </x:row>
    <x:row r="493" customHeight="1">
      <x:c r="A493" s="389">
        <x:v>8452300000</x:v>
      </x:c>
      <x:c r="B493" s="389" t="s">
        <x:v>917</x:v>
      </x:c>
      <x:c r="D493" s="390" t="s">
        <x:v>918</x:v>
      </x:c>
    </x:row>
    <x:row r="494" customHeight="1">
      <x:c r="A494" s="389">
        <x:v>4821100000</x:v>
      </x:c>
      <x:c r="B494" s="389" t="s">
        <x:v>919</x:v>
      </x:c>
      <x:c r="D494" s="390" t="s">
        <x:v>920</x:v>
      </x:c>
    </x:row>
    <x:row r="495" s="389" customFormat="1" customHeight="1">
      <x:c r="A495" s="389">
        <x:v>7326909000</x:v>
      </x:c>
      <x:c r="B495" s="389" t="s">
        <x:v>921</x:v>
      </x:c>
      <x:c r="D495" s="390" t="s">
        <x:v>922</x:v>
      </x:c>
    </x:row>
    <x:row r="496" customHeight="1">
      <x:c r="A496" s="399">
        <x:v>4821100000</x:v>
      </x:c>
      <x:c r="B496" s="400" t="s">
        <x:v>923</x:v>
      </x:c>
      <x:c r="C496" s="400"/>
      <x:c r="D496" s="393" t="s">
        <x:v>924</x:v>
      </x:c>
    </x:row>
    <x:row r="497" customHeight="1">
      <x:c r="A497" s="389">
        <x:v>8414804990</x:v>
      </x:c>
      <x:c r="B497" s="389" t="s">
        <x:v>925</x:v>
      </x:c>
      <x:c r="D497" s="390" t="s">
        <x:v>926</x:v>
      </x:c>
    </x:row>
    <x:row r="498" customHeight="1">
      <x:c r="A498" s="389">
        <x:v>8537109090</x:v>
      </x:c>
      <x:c r="B498" s="389" t="s">
        <x:v>927</x:v>
      </x:c>
      <x:c r="D498" s="390" t="s">
        <x:v>928</x:v>
      </x:c>
    </x:row>
    <x:row r="499" customHeight="1">
      <x:c r="A499" s="389">
        <x:v>8506101110</x:v>
      </x:c>
      <x:c r="B499" s="389" t="s">
        <x:v>929</x:v>
      </x:c>
      <x:c r="D499" s="390" t="s">
        <x:v>930</x:v>
      </x:c>
    </x:row>
    <x:row r="500" customHeight="1">
      <x:c r="A500" s="389">
        <x:v>3920109090</x:v>
      </x:c>
      <x:c r="B500" s="389" t="s">
        <x:v>931</x:v>
      </x:c>
    </x:row>
    <x:row r="501" customHeight="1">
      <x:c r="A501" s="391">
        <x:v>9503009000</x:v>
      </x:c>
      <x:c r="B501" s="392" t="s">
        <x:v>932</x:v>
      </x:c>
      <x:c r="C501" s="392"/>
      <x:c r="D501" s="394" t="s">
        <x:v>429</x:v>
      </x:c>
    </x:row>
    <x:row r="502" customHeight="1">
      <x:c r="A502" s="389">
        <x:v>8480790000</x:v>
      </x:c>
      <x:c r="B502" s="389" t="s">
        <x:v>933</x:v>
      </x:c>
      <x:c r="D502" s="390" t="s">
        <x:v>413</x:v>
      </x:c>
    </x:row>
    <x:row r="503" customHeight="1">
      <x:c r="A503" s="389">
        <x:v>4819100000</x:v>
      </x:c>
      <x:c r="B503" s="389" t="s">
        <x:v>934</x:v>
      </x:c>
      <x:c r="D503" s="390" t="s">
        <x:v>935</x:v>
      </x:c>
    </x:row>
    <x:row r="504" customHeight="1">
      <x:c r="A504" s="391">
        <x:v>5808100000</x:v>
      </x:c>
      <x:c r="B504" s="392" t="s">
        <x:v>936</x:v>
      </x:c>
      <x:c r="C504" s="392"/>
      <x:c r="D504" s="402" t="s">
        <x:v>236</x:v>
      </x:c>
    </x:row>
    <x:row r="505" customHeight="1">
      <x:c r="A505" s="389">
        <x:v>3923900000</x:v>
      </x:c>
      <x:c r="B505" s="389" t="s">
        <x:v>937</x:v>
      </x:c>
    </x:row>
    <x:row r="506" customHeight="1">
      <x:c r="A506" s="389">
        <x:v>8203200090</x:v>
      </x:c>
      <x:c r="B506" s="389" t="s">
        <x:v>938</x:v>
      </x:c>
      <x:c r="D506" s="390" t="s">
        <x:v>939</x:v>
      </x:c>
    </x:row>
    <x:row r="507" customHeight="1">
      <x:c r="A507" s="389">
        <x:v>8452300000</x:v>
      </x:c>
      <x:c r="B507" s="389" t="s">
        <x:v>940</x:v>
      </x:c>
      <x:c r="D507" s="390" t="s">
        <x:v>941</x:v>
      </x:c>
    </x:row>
    <x:row r="508" customHeight="1">
      <x:c r="A508" s="389">
        <x:v>4821100000</x:v>
      </x:c>
      <x:c r="B508" s="389" t="s">
        <x:v>942</x:v>
      </x:c>
      <x:c r="D508" s="390" t="s">
        <x:v>943</x:v>
      </x:c>
    </x:row>
    <x:row r="509" customHeight="1">
      <x:c r="A509" s="389">
        <x:v>3923900000</x:v>
      </x:c>
      <x:c r="B509" s="389" t="s">
        <x:v>944</x:v>
      </x:c>
      <x:c r="D509" s="390" t="s">
        <x:v>290</x:v>
      </x:c>
    </x:row>
    <x:row r="510" customHeight="1">
      <x:c r="A510" s="389">
        <x:v>8479899990</x:v>
      </x:c>
      <x:c r="B510" s="389" t="s">
        <x:v>945</x:v>
      </x:c>
      <x:c r="D510" s="390" t="s">
        <x:v>946</x:v>
      </x:c>
    </x:row>
    <x:row r="511" customHeight="1">
      <x:c r="A511" s="389">
        <x:v>8204110090</x:v>
      </x:c>
      <x:c r="B511" s="389" t="s">
        <x:v>947</x:v>
      </x:c>
      <x:c r="D511" s="390" t="s">
        <x:v>948</x:v>
      </x:c>
    </x:row>
    <x:row r="512" customHeight="1">
      <x:c r="A512" s="391">
        <x:v>8428330000</x:v>
      </x:c>
      <x:c r="B512" s="392" t="s">
        <x:v>949</x:v>
      </x:c>
      <x:c r="C512" s="392"/>
      <x:c r="D512" s="394" t="s">
        <x:v>950</x:v>
      </x:c>
    </x:row>
    <x:row r="513" customHeight="1">
      <x:c r="A513" s="391">
        <x:v>4819200000</x:v>
      </x:c>
      <x:c r="B513" s="392" t="s">
        <x:v>951</x:v>
      </x:c>
      <x:c r="C513" s="392"/>
      <x:c r="D513" s="393" t="s">
        <x:v>266</x:v>
      </x:c>
    </x:row>
    <x:row r="514" customHeight="1">
      <x:c r="A514" s="403">
        <x:v>7318160000</x:v>
      </x:c>
      <x:c r="B514" s="404" t="s">
        <x:v>952</x:v>
      </x:c>
      <x:c r="C514" s="404"/>
      <x:c r="D514" s="398" t="s">
        <x:v>953</x:v>
      </x:c>
    </x:row>
    <x:row r="515" customHeight="1">
      <x:c r="A515" s="391">
        <x:v>7318159090</x:v>
      </x:c>
      <x:c r="B515" s="392" t="s">
        <x:v>954</x:v>
      </x:c>
      <x:c r="C515" s="392"/>
      <x:c r="D515" s="394" t="s">
        <x:v>437</x:v>
      </x:c>
    </x:row>
    <x:row r="516" customHeight="1">
      <x:c r="A516" s="391">
        <x:v>4819200000</x:v>
      </x:c>
      <x:c r="B516" s="392" t="s">
        <x:v>955</x:v>
      </x:c>
      <x:c r="C516" s="392"/>
      <x:c r="D516" s="394" t="s">
        <x:v>503</x:v>
      </x:c>
    </x:row>
    <x:row r="517" customHeight="1">
      <x:c r="A517" s="405">
        <x:v>3923210000</x:v>
      </x:c>
      <x:c r="B517" s="392" t="s">
        <x:v>956</x:v>
      </x:c>
      <x:c r="C517" s="392"/>
      <x:c r="D517" s="395" t="s">
        <x:v>957</x:v>
      </x:c>
    </x:row>
    <x:row r="518" customHeight="1">
      <x:c r="A518" s="389">
        <x:v>8480790000</x:v>
      </x:c>
      <x:c r="B518" s="389" t="s">
        <x:v>958</x:v>
      </x:c>
      <x:c r="D518" s="390" t="s">
        <x:v>413</x:v>
      </x:c>
    </x:row>
    <x:row r="519" customHeight="1">
      <x:c r="A519" s="389">
        <x:v>8480790000</x:v>
      </x:c>
      <x:c r="B519" s="389" t="s">
        <x:v>959</x:v>
      </x:c>
      <x:c r="D519" s="390" t="s">
        <x:v>413</x:v>
      </x:c>
    </x:row>
    <x:row r="520" customHeight="1">
      <x:c r="A520" s="389">
        <x:v>8480790000</x:v>
      </x:c>
      <x:c r="B520" s="389" t="s">
        <x:v>960</x:v>
      </x:c>
      <x:c r="D520" s="390" t="s">
        <x:v>413</x:v>
      </x:c>
    </x:row>
    <x:row r="521" customHeight="1">
      <x:c r="A521" s="389">
        <x:v>8480790000</x:v>
      </x:c>
      <x:c r="B521" s="389" t="s">
        <x:v>961</x:v>
      </x:c>
      <x:c r="D521" s="390" t="s">
        <x:v>413</x:v>
      </x:c>
    </x:row>
    <x:row r="522" customHeight="1">
      <x:c r="A522" s="389">
        <x:v>7326909000</x:v>
      </x:c>
      <x:c r="B522" s="389" t="s">
        <x:v>962</x:v>
      </x:c>
      <x:c r="D522" s="390" t="s">
        <x:v>405</x:v>
      </x:c>
    </x:row>
    <x:row r="523" customHeight="1">
      <x:c r="A523" s="389">
        <x:v>7326909000</x:v>
      </x:c>
      <x:c r="B523" s="389" t="s">
        <x:v>963</x:v>
      </x:c>
    </x:row>
    <x:row r="524" s="389" customFormat="1" customHeight="1">
      <x:c r="A524" s="391">
        <x:v>3923900000</x:v>
      </x:c>
      <x:c r="B524" s="392" t="s">
        <x:v>964</x:v>
      </x:c>
      <x:c r="C524" s="392"/>
      <x:c r="D524" s="393" t="s">
        <x:v>290</x:v>
      </x:c>
    </x:row>
    <x:row r="525" s="389" customFormat="1" customHeight="1">
      <x:c r="A525" s="389">
        <x:v>3923900000</x:v>
      </x:c>
      <x:c r="B525" s="389" t="s">
        <x:v>965</x:v>
      </x:c>
      <x:c r="D525" s="390" t="s">
        <x:v>290</x:v>
      </x:c>
    </x:row>
    <x:row r="526" s="389" customFormat="1" customHeight="1">
      <x:c r="A526" s="389">
        <x:v>3923900000</x:v>
      </x:c>
      <x:c r="B526" s="389" t="s">
        <x:v>966</x:v>
      </x:c>
      <x:c r="D526" s="390" t="s">
        <x:v>290</x:v>
      </x:c>
    </x:row>
    <x:row r="527" customHeight="1">
      <x:c r="A527" s="391">
        <x:v>3923900000</x:v>
      </x:c>
      <x:c r="B527" s="392" t="s">
        <x:v>967</x:v>
      </x:c>
      <x:c r="C527" s="392"/>
      <x:c r="D527" s="393" t="s">
        <x:v>290</x:v>
      </x:c>
    </x:row>
    <x:row r="528" customHeight="1">
      <x:c r="A528" s="391">
        <x:v>9503009000</x:v>
      </x:c>
      <x:c r="B528" s="392" t="s">
        <x:v>968</x:v>
      </x:c>
      <x:c r="C528" s="392"/>
      <x:c r="D528" s="393" t="s">
        <x:v>969</x:v>
      </x:c>
    </x:row>
    <x:row r="529" customHeight="1">
      <x:c r="A529" s="389">
        <x:v>8477800000</x:v>
      </x:c>
      <x:c r="B529" s="389" t="s">
        <x:v>970</x:v>
      </x:c>
      <x:c r="D529" s="390" t="s">
        <x:v>971</x:v>
      </x:c>
    </x:row>
    <x:row r="530" customHeight="1">
      <x:c r="A530" s="391">
        <x:v>4821100000</x:v>
      </x:c>
      <x:c r="B530" s="392" t="s">
        <x:v>972</x:v>
      </x:c>
      <x:c r="C530" s="392"/>
      <x:c r="D530" s="393" t="s">
        <x:v>973</x:v>
      </x:c>
    </x:row>
    <x:row r="531" customHeight="1">
      <x:c r="A531" s="391">
        <x:v>9603302090</x:v>
      </x:c>
      <x:c r="B531" s="392" t="s">
        <x:v>974</x:v>
      </x:c>
      <x:c r="C531" s="392"/>
      <x:c r="D531" s="393" t="s">
        <x:v>612</x:v>
      </x:c>
    </x:row>
    <x:row r="532" customHeight="1">
      <x:c r="A532" s="391">
        <x:v>5806320000</x:v>
      </x:c>
      <x:c r="B532" s="392" t="s">
        <x:v>975</x:v>
      </x:c>
      <x:c r="C532" s="392"/>
      <x:c r="D532" s="402" t="s">
        <x:v>245</x:v>
      </x:c>
    </x:row>
    <x:row r="533" customHeight="1">
      <x:c r="A533" s="391">
        <x:v>5806320000</x:v>
      </x:c>
      <x:c r="B533" s="392" t="s">
        <x:v>976</x:v>
      </x:c>
      <x:c r="C533" s="392"/>
      <x:c r="D533" s="402" t="s">
        <x:v>245</x:v>
      </x:c>
    </x:row>
    <x:row r="534" customHeight="1">
      <x:c r="A534" s="391">
        <x:v>5806320000</x:v>
      </x:c>
      <x:c r="B534" s="392" t="s">
        <x:v>977</x:v>
      </x:c>
      <x:c r="C534" s="392"/>
      <x:c r="D534" s="402" t="s">
        <x:v>245</x:v>
      </x:c>
    </x:row>
    <x:row r="535" customHeight="1">
      <x:c r="A535" s="391">
        <x:v>5806320000</x:v>
      </x:c>
      <x:c r="B535" s="392" t="s">
        <x:v>978</x:v>
      </x:c>
      <x:c r="C535" s="392"/>
      <x:c r="D535" s="402" t="s">
        <x:v>245</x:v>
      </x:c>
    </x:row>
    <x:row r="536" customHeight="1">
      <x:c r="A536" s="391">
        <x:v>5806320000</x:v>
      </x:c>
      <x:c r="B536" s="392" t="s">
        <x:v>979</x:v>
      </x:c>
      <x:c r="C536" s="392"/>
      <x:c r="D536" s="402" t="s">
        <x:v>245</x:v>
      </x:c>
    </x:row>
    <x:row r="537" customHeight="1">
      <x:c r="A537" s="389">
        <x:v>5806320000</x:v>
      </x:c>
      <x:c r="B537" s="389" t="s">
        <x:v>980</x:v>
      </x:c>
      <x:c r="D537" s="390" t="s">
        <x:v>245</x:v>
      </x:c>
    </x:row>
    <x:row r="538" customHeight="1">
      <x:c r="A538" s="389">
        <x:v>9503002900</x:v>
      </x:c>
      <x:c r="B538" s="389" t="s">
        <x:v>981</x:v>
      </x:c>
      <x:c r="D538" s="390" t="s">
        <x:v>982</x:v>
      </x:c>
    </x:row>
    <x:row r="539" customHeight="1">
      <x:c r="A539" s="389">
        <x:v>9503002900</x:v>
      </x:c>
      <x:c r="B539" s="389" t="s">
        <x:v>983</x:v>
      </x:c>
      <x:c r="D539" s="390" t="s">
        <x:v>493</x:v>
      </x:c>
    </x:row>
    <x:row r="540" customHeight="1">
      <x:c r="A540" s="389">
        <x:v>9503002900</x:v>
      </x:c>
      <x:c r="B540" s="389" t="s">
        <x:v>984</x:v>
      </x:c>
      <x:c r="D540" s="390" t="s">
        <x:v>982</x:v>
      </x:c>
    </x:row>
    <x:row r="541" customHeight="1">
      <x:c r="A541" s="389">
        <x:v>9503002900</x:v>
      </x:c>
      <x:c r="B541" s="389" t="s">
        <x:v>985</x:v>
      </x:c>
      <x:c r="D541" s="390" t="s">
        <x:v>982</x:v>
      </x:c>
    </x:row>
    <x:row r="542" customHeight="1">
      <x:c r="A542" s="391">
        <x:v>7326909000</x:v>
      </x:c>
      <x:c r="B542" s="392" t="s">
        <x:v>986</x:v>
      </x:c>
      <x:c r="C542" s="392"/>
      <x:c r="D542" s="395" t="s">
        <x:v>405</x:v>
      </x:c>
    </x:row>
    <x:row r="543" customHeight="1">
      <x:c r="A543" s="391">
        <x:v>8480790000</x:v>
      </x:c>
      <x:c r="B543" s="392" t="s">
        <x:v>987</x:v>
      </x:c>
      <x:c r="C543" s="392"/>
      <x:c r="D543" s="395" t="s">
        <x:v>413</x:v>
      </x:c>
    </x:row>
    <x:row r="544" customHeight="1">
      <x:c r="A544" s="391">
        <x:v>8479909090</x:v>
      </x:c>
      <x:c r="B544" s="392" t="s">
        <x:v>988</x:v>
      </x:c>
      <x:c r="C544" s="392"/>
      <x:c r="D544" s="394" t="s">
        <x:v>989</x:v>
      </x:c>
    </x:row>
    <x:row r="545" customHeight="1">
      <x:c r="A545" s="389">
        <x:v>3926909090</x:v>
      </x:c>
      <x:c r="B545" s="389" t="s">
        <x:v>990</x:v>
      </x:c>
      <x:c r="D545" s="390" t="s">
        <x:v>991</x:v>
      </x:c>
    </x:row>
    <x:row r="546" customHeight="1">
      <x:c r="A546" s="391">
        <x:v>8480790000</x:v>
      </x:c>
      <x:c r="B546" s="392" t="s">
        <x:v>992</x:v>
      </x:c>
      <x:c r="C546" s="392"/>
      <x:c r="D546" s="398" t="s">
        <x:v>644</x:v>
      </x:c>
    </x:row>
    <x:row r="547" customHeight="1">
      <x:c r="A547" s="389">
        <x:v>8452219000</x:v>
      </x:c>
      <x:c r="B547" s="389" t="s">
        <x:v>993</x:v>
      </x:c>
      <x:c r="D547" s="390" t="s">
        <x:v>994</x:v>
      </x:c>
    </x:row>
    <x:row r="548" customHeight="1">
      <x:c r="A548" s="389">
        <x:v>7320209000</x:v>
      </x:c>
      <x:c r="B548" s="389" t="s">
        <x:v>995</x:v>
      </x:c>
      <x:c r="D548" s="390" t="s">
        <x:v>996</x:v>
      </x:c>
    </x:row>
    <x:row r="549" customHeight="1">
      <x:c r="A549" s="389">
        <x:v>7326901990</x:v>
      </x:c>
      <x:c r="B549" s="389" t="s">
        <x:v>997</x:v>
      </x:c>
      <x:c r="D549" s="390" t="s">
        <x:v>998</x:v>
      </x:c>
    </x:row>
    <x:row r="550" customHeight="1">
      <x:c r="A550" s="389">
        <x:v>3923900000</x:v>
      </x:c>
      <x:c r="B550" s="389" t="s">
        <x:v>999</x:v>
      </x:c>
      <x:c r="D550" s="390" t="s">
        <x:v>290</x:v>
      </x:c>
    </x:row>
    <x:row r="551" customHeight="1">
      <x:c r="A551" s="391">
        <x:v>3923900000</x:v>
      </x:c>
      <x:c r="B551" s="392" t="s">
        <x:v>1000</x:v>
      </x:c>
      <x:c r="C551" s="392"/>
      <x:c r="D551" s="394" t="s">
        <x:v>290</x:v>
      </x:c>
    </x:row>
    <x:row r="552" customHeight="1">
      <x:c r="A552" s="389">
        <x:v>8467920000</x:v>
      </x:c>
      <x:c r="B552" s="389" t="s">
        <x:v>1001</x:v>
      </x:c>
      <x:c r="D552" s="390" t="s">
        <x:v>606</x:v>
      </x:c>
    </x:row>
    <x:row r="553" customHeight="1">
      <x:c r="A553" s="389">
        <x:v>3923900000</x:v>
      </x:c>
      <x:c r="B553" s="389" t="s">
        <x:v>1002</x:v>
      </x:c>
      <x:c r="D553" s="390" t="s">
        <x:v>290</x:v>
      </x:c>
    </x:row>
    <x:row r="554" customHeight="1">
      <x:c r="A554" s="389">
        <x:v>3919909090</x:v>
      </x:c>
      <x:c r="B554" s="389" t="s">
        <x:v>1003</x:v>
      </x:c>
      <x:c r="D554" s="390" t="s">
        <x:v>1004</x:v>
      </x:c>
    </x:row>
    <x:row r="555" customHeight="1">
      <x:c r="A555" s="389">
        <x:v>9030339000</x:v>
      </x:c>
      <x:c r="B555" s="389" t="s">
        <x:v>1005</x:v>
      </x:c>
      <x:c r="D555" s="390" t="s">
        <x:v>1006</x:v>
      </x:c>
    </x:row>
    <x:row r="556" customHeight="1">
      <x:c r="A556" s="389">
        <x:v>3923900000</x:v>
      </x:c>
      <x:c r="B556" s="389" t="s">
        <x:v>1007</x:v>
      </x:c>
      <x:c r="D556" s="390" t="s">
        <x:v>290</x:v>
      </x:c>
    </x:row>
    <x:row r="557" s="389" customFormat="1" customHeight="1">
      <x:c r="A557" s="389">
        <x:v>4821100000</x:v>
      </x:c>
      <x:c r="B557" s="389" t="s">
        <x:v>1008</x:v>
      </x:c>
      <x:c r="D557" s="390" t="s">
        <x:v>1009</x:v>
      </x:c>
    </x:row>
    <x:row r="558" s="389" customFormat="1" customHeight="1">
      <x:c r="A558" s="389">
        <x:v>4821100000</x:v>
      </x:c>
      <x:c r="B558" s="392" t="s">
        <x:v>1010</x:v>
      </x:c>
      <x:c r="C558" s="392"/>
      <x:c r="D558" s="394" t="s">
        <x:v>1011</x:v>
      </x:c>
    </x:row>
    <x:row r="559" s="389" customFormat="1" customHeight="1">
      <x:c r="A559" s="389">
        <x:v>4821100000</x:v>
      </x:c>
      <x:c r="B559" s="389" t="s">
        <x:v>1012</x:v>
      </x:c>
      <x:c r="D559" s="390" t="s">
        <x:v>266</x:v>
      </x:c>
    </x:row>
    <x:row r="560" customHeight="1">
      <x:c r="A560" s="391">
        <x:v>4819200000</x:v>
      </x:c>
      <x:c r="B560" s="392" t="s">
        <x:v>1013</x:v>
      </x:c>
      <x:c r="C560" s="392"/>
      <x:c r="D560" s="394" t="s">
        <x:v>503</x:v>
      </x:c>
    </x:row>
    <x:row r="561" s="389" customFormat="1" customHeight="1">
      <x:c r="A561" s="391">
        <x:v>7318159090</x:v>
      </x:c>
      <x:c r="B561" s="392" t="s">
        <x:v>1014</x:v>
      </x:c>
      <x:c r="C561" s="392"/>
      <x:c r="D561" s="393" t="s">
        <x:v>1015</x:v>
      </x:c>
    </x:row>
    <x:row r="562" customHeight="1">
      <x:c r="A562" s="389">
        <x:v>9027300090</x:v>
      </x:c>
      <x:c r="B562" s="389" t="s">
        <x:v>1016</x:v>
      </x:c>
      <x:c r="D562" s="390" t="s">
        <x:v>1017</x:v>
      </x:c>
    </x:row>
    <x:row r="563" customHeight="1">
      <x:c r="A563" s="389">
        <x:v>4819200000</x:v>
      </x:c>
      <x:c r="B563" s="389" t="s">
        <x:v>1018</x:v>
      </x:c>
      <x:c r="D563" s="390" t="s">
        <x:v>266</x:v>
      </x:c>
    </x:row>
    <x:row r="564" customHeight="1">
      <x:c r="A564" s="389">
        <x:v>4819200000</x:v>
      </x:c>
      <x:c r="B564" s="389" t="s">
        <x:v>1019</x:v>
      </x:c>
      <x:c r="D564" s="390" t="s">
        <x:v>266</x:v>
      </x:c>
    </x:row>
    <x:row r="565" customHeight="1">
      <x:c r="A565" s="391">
        <x:v>4821100000</x:v>
      </x:c>
      <x:c r="B565" s="392" t="s">
        <x:v>1020</x:v>
      </x:c>
      <x:c r="C565" s="392"/>
      <x:c r="D565" s="394" t="s">
        <x:v>1021</x:v>
      </x:c>
    </x:row>
    <x:row r="566" customHeight="1">
      <x:c r="A566" s="389">
        <x:v>9024800000</x:v>
      </x:c>
      <x:c r="B566" s="389" t="s">
        <x:v>1022</x:v>
      </x:c>
      <x:c r="D566" s="390" t="s">
        <x:v>1023</x:v>
      </x:c>
    </x:row>
    <x:row r="567" customHeight="1">
      <x:c r="A567" s="389">
        <x:v>9503009000</x:v>
      </x:c>
      <x:c r="B567" s="389" t="s">
        <x:v>1024</x:v>
      </x:c>
      <x:c r="D567" s="390" t="s">
        <x:v>493</x:v>
      </x:c>
    </x:row>
    <x:row r="568" customHeight="1">
      <x:c r="A568" s="389">
        <x:v>9503008900</x:v>
      </x:c>
      <x:c r="B568" s="389" t="s">
        <x:v>1025</x:v>
      </x:c>
      <x:c r="D568" s="390" t="s">
        <x:v>493</x:v>
      </x:c>
    </x:row>
    <x:row r="569" customHeight="1">
      <x:c r="A569" s="389">
        <x:v>9503008900</x:v>
      </x:c>
      <x:c r="B569" s="389" t="s">
        <x:v>1026</x:v>
      </x:c>
      <x:c r="D569" s="390" t="s">
        <x:v>493</x:v>
      </x:c>
    </x:row>
    <x:row r="570" customHeight="1">
      <x:c r="A570" s="389">
        <x:v>3923900000</x:v>
      </x:c>
      <x:c r="B570" s="389" t="s">
        <x:v>1027</x:v>
      </x:c>
      <x:c r="D570" s="390" t="s">
        <x:v>290</x:v>
      </x:c>
    </x:row>
    <x:row r="571" customHeight="1">
      <x:c r="A571" s="389">
        <x:v>7326909000</x:v>
      </x:c>
      <x:c r="B571" s="389" t="s">
        <x:v>1028</x:v>
      </x:c>
      <x:c r="D571" s="390" t="s">
        <x:v>582</x:v>
      </x:c>
    </x:row>
    <x:row r="572" s="389" customFormat="1" customHeight="1">
      <x:c r="A572" s="389">
        <x:v>8443322100</x:v>
      </x:c>
      <x:c r="B572" s="389" t="s">
        <x:v>1029</x:v>
      </x:c>
      <x:c r="D572" s="390" t="s">
        <x:v>1030</x:v>
      </x:c>
    </x:row>
    <x:row r="573" s="389" customFormat="1" customHeight="1">
      <x:c r="A573" s="389">
        <x:v>8424300000</x:v>
      </x:c>
      <x:c r="B573" s="389" t="s">
        <x:v>1031</x:v>
      </x:c>
      <x:c r="D573" s="390" t="s">
        <x:v>1032</x:v>
      </x:c>
    </x:row>
    <x:row r="574" customHeight="1">
      <x:c r="A574" s="389">
        <x:v>8443999090</x:v>
      </x:c>
      <x:c r="B574" s="389" t="s">
        <x:v>1033</x:v>
      </x:c>
      <x:c r="D574" s="390" t="s">
        <x:v>284</x:v>
      </x:c>
    </x:row>
    <x:row r="575" customHeight="1">
      <x:c r="A575" s="389">
        <x:v>8443999090</x:v>
      </x:c>
      <x:c r="B575" s="389" t="s">
        <x:v>1034</x:v>
      </x:c>
      <x:c r="D575" s="390" t="s">
        <x:v>284</x:v>
      </x:c>
    </x:row>
    <x:row r="576" customHeight="1">
      <x:c r="A576" s="389">
        <x:v>8205590000</x:v>
      </x:c>
      <x:c r="B576" s="389" t="s">
        <x:v>1035</x:v>
      </x:c>
      <x:c r="D576" s="390" t="s">
        <x:v>1036</x:v>
      </x:c>
    </x:row>
    <x:row r="577" customHeight="1">
      <x:c r="A577" s="391">
        <x:v>4819100000</x:v>
      </x:c>
      <x:c r="B577" s="392" t="s">
        <x:v>1037</x:v>
      </x:c>
      <x:c r="C577" s="392"/>
      <x:c r="D577" s="394" t="s">
        <x:v>503</x:v>
      </x:c>
    </x:row>
    <x:row r="578" customHeight="1">
      <x:c r="A578" s="389">
        <x:v>8480790000</x:v>
      </x:c>
      <x:c r="B578" s="389" t="s">
        <x:v>1038</x:v>
      </x:c>
      <x:c r="D578" s="390" t="s">
        <x:v>413</x:v>
      </x:c>
    </x:row>
    <x:row r="579" customHeight="1">
      <x:c r="A579" s="389">
        <x:v>8480790000</x:v>
      </x:c>
      <x:c r="B579" s="389" t="s">
        <x:v>1039</x:v>
      </x:c>
      <x:c r="D579" s="390" t="s">
        <x:v>413</x:v>
      </x:c>
    </x:row>
    <x:row r="580" customHeight="1">
      <x:c r="A580" s="389">
        <x:v>8480790000</x:v>
      </x:c>
      <x:c r="B580" s="389" t="s">
        <x:v>1040</x:v>
      </x:c>
      <x:c r="D580" s="390" t="s">
        <x:v>413</x:v>
      </x:c>
    </x:row>
    <x:row r="581" customHeight="1">
      <x:c r="A581" s="389">
        <x:v>7326909000</x:v>
      </x:c>
      <x:c r="B581" s="389" t="s">
        <x:v>1041</x:v>
      </x:c>
      <x:c r="D581" s="390" t="s">
        <x:v>405</x:v>
      </x:c>
    </x:row>
    <x:row r="582" customHeight="1">
      <x:c r="A582" s="389">
        <x:v>7326909000</x:v>
      </x:c>
      <x:c r="B582" s="389" t="s">
        <x:v>1042</x:v>
      </x:c>
      <x:c r="D582" s="390" t="s">
        <x:v>405</x:v>
      </x:c>
    </x:row>
    <x:row r="583" customHeight="1">
      <x:c r="A583" s="389">
        <x:v>8480790000</x:v>
      </x:c>
      <x:c r="B583" s="389" t="s">
        <x:v>1043</x:v>
      </x:c>
      <x:c r="D583" s="390" t="s">
        <x:v>413</x:v>
      </x:c>
    </x:row>
    <x:row r="584" customHeight="1">
      <x:c r="A584" s="389">
        <x:v>8480790000</x:v>
      </x:c>
      <x:c r="B584" s="389" t="s">
        <x:v>1044</x:v>
      </x:c>
      <x:c r="D584" s="390" t="s">
        <x:v>413</x:v>
      </x:c>
    </x:row>
    <x:row r="585" customHeight="1">
      <x:c r="A585" s="389">
        <x:v>8480790000</x:v>
      </x:c>
      <x:c r="B585" s="389" t="s">
        <x:v>1045</x:v>
      </x:c>
      <x:c r="D585" s="390" t="s">
        <x:v>413</x:v>
      </x:c>
    </x:row>
    <x:row r="586" customHeight="1">
      <x:c r="A586" s="389">
        <x:v>8480790000</x:v>
      </x:c>
      <x:c r="B586" s="389" t="s">
        <x:v>1046</x:v>
      </x:c>
      <x:c r="D586" s="390" t="s">
        <x:v>413</x:v>
      </x:c>
    </x:row>
    <x:row r="587" customHeight="1">
      <x:c r="A587" s="389">
        <x:v>8480790000</x:v>
      </x:c>
      <x:c r="B587" s="389" t="s">
        <x:v>1047</x:v>
      </x:c>
      <x:c r="D587" s="390" t="s">
        <x:v>413</x:v>
      </x:c>
    </x:row>
    <x:row r="588" customHeight="1">
      <x:c r="A588" s="391">
        <x:v>4819100000</x:v>
      </x:c>
      <x:c r="B588" s="392" t="s">
        <x:v>1048</x:v>
      </x:c>
      <x:c r="C588" s="392"/>
      <x:c r="D588" s="394" t="s">
        <x:v>503</x:v>
      </x:c>
    </x:row>
    <x:row r="589" customHeight="1">
      <x:c r="A589" s="389">
        <x:v>8480790000</x:v>
      </x:c>
      <x:c r="B589" s="389" t="s">
        <x:v>1049</x:v>
      </x:c>
      <x:c r="D589" s="390" t="s">
        <x:v>413</x:v>
      </x:c>
    </x:row>
    <x:row r="590" customHeight="1">
      <x:c r="A590" s="389">
        <x:v>8480790000</x:v>
      </x:c>
      <x:c r="B590" s="389" t="s">
        <x:v>1050</x:v>
      </x:c>
      <x:c r="D590" s="390" t="s">
        <x:v>413</x:v>
      </x:c>
    </x:row>
    <x:row r="591" customHeight="1">
      <x:c r="A591" s="389">
        <x:v>7326909000</x:v>
      </x:c>
      <x:c r="B591" s="389" t="s">
        <x:v>1051</x:v>
      </x:c>
      <x:c r="D591" s="390" t="s">
        <x:v>405</x:v>
      </x:c>
    </x:row>
    <x:row r="592" customHeight="1">
      <x:c r="A592" s="389">
        <x:v>7326909000</x:v>
      </x:c>
      <x:c r="B592" s="389" t="s">
        <x:v>1052</x:v>
      </x:c>
      <x:c r="D592" s="390" t="s">
        <x:v>405</x:v>
      </x:c>
    </x:row>
    <x:row r="593" customHeight="1">
      <x:c r="A593" s="389">
        <x:v>8480790000</x:v>
      </x:c>
      <x:c r="B593" s="389" t="s">
        <x:v>1053</x:v>
      </x:c>
      <x:c r="D593" s="390" t="s">
        <x:v>413</x:v>
      </x:c>
    </x:row>
    <x:row r="594" customHeight="1">
      <x:c r="A594" s="389">
        <x:v>8480790000</x:v>
      </x:c>
      <x:c r="B594" s="389" t="s">
        <x:v>1054</x:v>
      </x:c>
      <x:c r="D594" s="390" t="s">
        <x:v>413</x:v>
      </x:c>
    </x:row>
    <x:row r="595" customHeight="1">
      <x:c r="A595" s="389">
        <x:v>8480790000</x:v>
      </x:c>
      <x:c r="B595" s="389" t="s">
        <x:v>1055</x:v>
      </x:c>
      <x:c r="D595" s="390" t="s">
        <x:v>413</x:v>
      </x:c>
    </x:row>
    <x:row r="596" customHeight="1">
      <x:c r="A596" s="389">
        <x:v>8480790000</x:v>
      </x:c>
      <x:c r="B596" s="389" t="s">
        <x:v>1056</x:v>
      </x:c>
      <x:c r="D596" s="390" t="s">
        <x:v>413</x:v>
      </x:c>
    </x:row>
    <x:row r="597" customHeight="1">
      <x:c r="A597" s="389">
        <x:v>7326909000</x:v>
      </x:c>
      <x:c r="B597" s="389" t="s">
        <x:v>1057</x:v>
      </x:c>
      <x:c r="D597" s="390" t="s">
        <x:v>405</x:v>
      </x:c>
    </x:row>
    <x:row r="598" customHeight="1">
      <x:c r="A598" s="389">
        <x:v>7326909000</x:v>
      </x:c>
      <x:c r="B598" s="389" t="s">
        <x:v>1058</x:v>
      </x:c>
      <x:c r="D598" s="390" t="s">
        <x:v>405</x:v>
      </x:c>
    </x:row>
    <x:row r="599" customHeight="1">
      <x:c r="A599" s="389">
        <x:v>7326909000</x:v>
      </x:c>
      <x:c r="B599" s="389" t="s">
        <x:v>1059</x:v>
      </x:c>
      <x:c r="D599" s="390" t="s">
        <x:v>405</x:v>
      </x:c>
    </x:row>
    <x:row r="600" customHeight="1">
      <x:c r="A600" s="389">
        <x:v>7326909000</x:v>
      </x:c>
      <x:c r="B600" s="389" t="s">
        <x:v>1060</x:v>
      </x:c>
      <x:c r="D600" s="390" t="s">
        <x:v>405</x:v>
      </x:c>
    </x:row>
    <x:row r="601" customHeight="1">
      <x:c r="A601" s="389">
        <x:v>8480790000</x:v>
      </x:c>
      <x:c r="B601" s="389" t="s">
        <x:v>1061</x:v>
      </x:c>
      <x:c r="D601" s="390" t="s">
        <x:v>413</x:v>
      </x:c>
    </x:row>
    <x:row r="602" customHeight="1">
      <x:c r="A602" s="391">
        <x:v>7326909090</x:v>
      </x:c>
      <x:c r="B602" s="392" t="s">
        <x:v>1062</x:v>
      </x:c>
      <x:c r="C602" s="392"/>
      <x:c r="D602" s="395" t="s">
        <x:v>405</x:v>
      </x:c>
    </x:row>
    <x:row r="603" customHeight="1">
      <x:c r="A603" s="391">
        <x:v>7326909090</x:v>
      </x:c>
      <x:c r="B603" s="392" t="s">
        <x:v>1063</x:v>
      </x:c>
      <x:c r="C603" s="392"/>
      <x:c r="D603" s="395" t="s">
        <x:v>405</x:v>
      </x:c>
    </x:row>
    <x:row r="604" customHeight="1">
      <x:c r="A604" s="389">
        <x:v>8480790000</x:v>
      </x:c>
      <x:c r="B604" s="389" t="s">
        <x:v>1064</x:v>
      </x:c>
      <x:c r="D604" s="390" t="s">
        <x:v>413</x:v>
      </x:c>
    </x:row>
    <x:row r="605" customHeight="1">
      <x:c r="A605" s="389">
        <x:v>7326909000</x:v>
      </x:c>
      <x:c r="B605" s="389" t="s">
        <x:v>1065</x:v>
      </x:c>
      <x:c r="D605" s="390" t="s">
        <x:v>405</x:v>
      </x:c>
    </x:row>
    <x:row r="606" customHeight="1">
      <x:c r="A606" s="389">
        <x:v>7326909000</x:v>
      </x:c>
      <x:c r="B606" s="389" t="s">
        <x:v>1066</x:v>
      </x:c>
      <x:c r="D606" s="390" t="s">
        <x:v>405</x:v>
      </x:c>
    </x:row>
    <x:row r="607" customHeight="1">
      <x:c r="A607" s="389">
        <x:v>8480790000</x:v>
      </x:c>
      <x:c r="B607" s="389" t="s">
        <x:v>1067</x:v>
      </x:c>
      <x:c r="D607" s="390" t="s">
        <x:v>413</x:v>
      </x:c>
    </x:row>
    <x:row r="608" customHeight="1">
      <x:c r="A608" s="389">
        <x:v>7326909000</x:v>
      </x:c>
      <x:c r="B608" s="389" t="s">
        <x:v>1068</x:v>
      </x:c>
      <x:c r="D608" s="390" t="s">
        <x:v>405</x:v>
      </x:c>
    </x:row>
    <x:row r="609" customHeight="1">
      <x:c r="A609" s="389">
        <x:v>7326909000</x:v>
      </x:c>
      <x:c r="B609" s="389" t="s">
        <x:v>1069</x:v>
      </x:c>
      <x:c r="D609" s="390" t="s">
        <x:v>405</x:v>
      </x:c>
    </x:row>
    <x:row r="610" customHeight="1">
      <x:c r="A610" s="389">
        <x:v>7326909000</x:v>
      </x:c>
      <x:c r="B610" s="389" t="s">
        <x:v>1070</x:v>
      </x:c>
      <x:c r="D610" s="390" t="s">
        <x:v>405</x:v>
      </x:c>
    </x:row>
    <x:row r="611" customHeight="1">
      <x:c r="A611" s="389">
        <x:v>7326909000</x:v>
      </x:c>
      <x:c r="B611" s="389" t="s">
        <x:v>1071</x:v>
      </x:c>
      <x:c r="D611" s="390" t="s">
        <x:v>405</x:v>
      </x:c>
    </x:row>
    <x:row r="612" customHeight="1">
      <x:c r="A612" s="389">
        <x:v>7326909000</x:v>
      </x:c>
      <x:c r="B612" s="389" t="s">
        <x:v>1072</x:v>
      </x:c>
      <x:c r="D612" s="390" t="s">
        <x:v>922</x:v>
      </x:c>
    </x:row>
    <x:row r="613" customHeight="1">
      <x:c r="A613" s="389">
        <x:v>7326909000</x:v>
      </x:c>
      <x:c r="B613" s="389" t="s">
        <x:v>1073</x:v>
      </x:c>
      <x:c r="D613" s="390" t="s">
        <x:v>922</x:v>
      </x:c>
    </x:row>
    <x:row r="614" customHeight="1">
      <x:c r="A614" s="389">
        <x:v>7326909000</x:v>
      </x:c>
      <x:c r="B614" s="389" t="s">
        <x:v>1074</x:v>
      </x:c>
      <x:c r="D614" s="390" t="s">
        <x:v>922</x:v>
      </x:c>
    </x:row>
    <x:row r="615" customHeight="1">
      <x:c r="A615" s="389">
        <x:v>7326909000</x:v>
      </x:c>
      <x:c r="B615" s="389" t="s">
        <x:v>1075</x:v>
      </x:c>
      <x:c r="D615" s="390" t="s">
        <x:v>922</x:v>
      </x:c>
    </x:row>
    <x:row r="616" customHeight="1">
      <x:c r="A616" s="389">
        <x:v>7326909000</x:v>
      </x:c>
      <x:c r="B616" s="389" t="s">
        <x:v>1076</x:v>
      </x:c>
      <x:c r="D616" s="390" t="s">
        <x:v>922</x:v>
      </x:c>
    </x:row>
    <x:row r="617" customHeight="1">
      <x:c r="A617" s="389">
        <x:v>7326909000</x:v>
      </x:c>
      <x:c r="B617" s="389" t="s">
        <x:v>1077</x:v>
      </x:c>
      <x:c r="D617" s="390" t="s">
        <x:v>922</x:v>
      </x:c>
    </x:row>
    <x:row r="618" customHeight="1">
      <x:c r="A618" s="389">
        <x:v>7326909000</x:v>
      </x:c>
      <x:c r="B618" s="389" t="s">
        <x:v>1078</x:v>
      </x:c>
      <x:c r="D618" s="390" t="s">
        <x:v>922</x:v>
      </x:c>
    </x:row>
    <x:row r="619" customHeight="1">
      <x:c r="A619" s="389">
        <x:v>7326909000</x:v>
      </x:c>
      <x:c r="B619" s="389" t="s">
        <x:v>1079</x:v>
      </x:c>
      <x:c r="D619" s="390" t="s">
        <x:v>922</x:v>
      </x:c>
    </x:row>
    <x:row r="620" customHeight="1">
      <x:c r="A620" s="389">
        <x:v>7326909000</x:v>
      </x:c>
      <x:c r="B620" s="389" t="s">
        <x:v>1080</x:v>
      </x:c>
      <x:c r="D620" s="390" t="s">
        <x:v>922</x:v>
      </x:c>
    </x:row>
    <x:row r="621" customHeight="1">
      <x:c r="A621" s="389">
        <x:v>7326909000</x:v>
      </x:c>
      <x:c r="B621" s="389" t="s">
        <x:v>1081</x:v>
      </x:c>
      <x:c r="D621" s="390" t="s">
        <x:v>922</x:v>
      </x:c>
    </x:row>
    <x:row r="622" customHeight="1">
      <x:c r="A622" s="389">
        <x:v>4819100000</x:v>
      </x:c>
      <x:c r="B622" s="389" t="s">
        <x:v>1082</x:v>
      </x:c>
      <x:c r="D622" s="390" t="s">
        <x:v>266</x:v>
      </x:c>
    </x:row>
    <x:row r="623" customHeight="1">
      <x:c r="A623" s="391">
        <x:v>4819200000</x:v>
      </x:c>
      <x:c r="B623" s="392" t="s">
        <x:v>1083</x:v>
      </x:c>
      <x:c r="C623" s="392"/>
      <x:c r="D623" s="394" t="s">
        <x:v>503</x:v>
      </x:c>
    </x:row>
    <x:row r="624" customHeight="1">
      <x:c r="A624" s="389">
        <x:v>8203200090</x:v>
      </x:c>
      <x:c r="B624" s="389" t="s">
        <x:v>1084</x:v>
      </x:c>
      <x:c r="D624" s="390" t="s">
        <x:v>525</x:v>
      </x:c>
    </x:row>
    <x:row r="625" customHeight="1">
      <x:c r="A625" s="391">
        <x:v>3926909090</x:v>
      </x:c>
      <x:c r="B625" s="392" t="s">
        <x:v>1085</x:v>
      </x:c>
      <x:c r="C625" s="392"/>
      <x:c r="D625" s="393" t="s">
        <x:v>625</x:v>
      </x:c>
    </x:row>
    <x:row r="626" customHeight="1">
      <x:c r="A626" s="391">
        <x:v>3926909090</x:v>
      </x:c>
      <x:c r="B626" s="392" t="s">
        <x:v>1086</x:v>
      </x:c>
      <x:c r="C626" s="392"/>
      <x:c r="D626" s="393" t="s">
        <x:v>625</x:v>
      </x:c>
    </x:row>
    <x:row r="627" s="389" customFormat="1" customHeight="1">
      <x:c r="A627" s="391">
        <x:v>4823909000</x:v>
      </x:c>
      <x:c r="B627" s="392" t="s">
        <x:v>1087</x:v>
      </x:c>
      <x:c r="C627" s="392"/>
      <x:c r="D627" s="393" t="s">
        <x:v>1088</x:v>
      </x:c>
    </x:row>
    <x:row r="628" customHeight="1">
      <x:c r="A628" s="389">
        <x:v>7325101000</x:v>
      </x:c>
      <x:c r="B628" s="389" t="s">
        <x:v>1089</x:v>
      </x:c>
      <x:c r="D628" s="390" t="s">
        <x:v>1090</x:v>
      </x:c>
    </x:row>
    <x:row r="629" customHeight="1">
      <x:c r="A629" s="389">
        <x:v>8467190000</x:v>
      </x:c>
      <x:c r="B629" s="389" t="s">
        <x:v>1091</x:v>
      </x:c>
      <x:c r="D629" s="390" t="s">
        <x:v>1092</x:v>
      </x:c>
    </x:row>
    <x:row r="630" customHeight="1">
      <x:c r="A630" s="391">
        <x:v>7326909000</x:v>
      </x:c>
      <x:c r="B630" s="392" t="s">
        <x:v>1093</x:v>
      </x:c>
      <x:c r="C630" s="392"/>
      <x:c r="D630" s="394" t="s">
        <x:v>1094</x:v>
      </x:c>
    </x:row>
    <x:row r="631" customHeight="1">
      <x:c r="A631" s="391">
        <x:v>7326909000</x:v>
      </x:c>
      <x:c r="B631" s="392" t="s">
        <x:v>1095</x:v>
      </x:c>
      <x:c r="C631" s="392"/>
      <x:c r="D631" s="394" t="s">
        <x:v>1094</x:v>
      </x:c>
    </x:row>
    <x:row r="632" customHeight="1">
      <x:c r="A632" s="389">
        <x:v>8462119000</x:v>
      </x:c>
      <x:c r="B632" s="389" t="s">
        <x:v>1096</x:v>
      </x:c>
      <x:c r="D632" s="390" t="s">
        <x:v>1097</x:v>
      </x:c>
    </x:row>
    <x:row r="633" customHeight="1">
      <x:c r="A633" s="389">
        <x:v>9503009000</x:v>
      </x:c>
      <x:c r="B633" s="389" t="s">
        <x:v>1098</x:v>
      </x:c>
      <x:c r="D633" s="390" t="s">
        <x:v>493</x:v>
      </x:c>
    </x:row>
    <x:row r="634" customHeight="1">
      <x:c r="A634" s="389">
        <x:v>8480790000</x:v>
      </x:c>
      <x:c r="B634" s="389" t="s">
        <x:v>1099</x:v>
      </x:c>
      <x:c r="D634" s="390" t="s">
        <x:v>413</x:v>
      </x:c>
    </x:row>
    <x:row r="635" customHeight="1">
      <x:c r="A635" s="389">
        <x:v>732690900</x:v>
      </x:c>
      <x:c r="B635" s="389" t="s">
        <x:v>1100</x:v>
      </x:c>
      <x:c r="D635" s="390" t="s">
        <x:v>426</x:v>
      </x:c>
    </x:row>
    <x:row r="636" customHeight="1">
      <x:c r="A636" s="389">
        <x:v>7326909000</x:v>
      </x:c>
      <x:c r="B636" s="389" t="s">
        <x:v>1101</x:v>
      </x:c>
      <x:c r="D636" s="390" t="s">
        <x:v>405</x:v>
      </x:c>
    </x:row>
    <x:row r="637" customHeight="1">
      <x:c r="A637" s="389">
        <x:v>7326909000</x:v>
      </x:c>
      <x:c r="B637" s="389" t="s">
        <x:v>1102</x:v>
      </x:c>
      <x:c r="D637" s="390" t="s">
        <x:v>405</x:v>
      </x:c>
    </x:row>
    <x:row r="638" customHeight="1">
      <x:c r="A638" s="389">
        <x:v>8480790000</x:v>
      </x:c>
      <x:c r="B638" s="389" t="s">
        <x:v>1103</x:v>
      </x:c>
      <x:c r="D638" s="390" t="s">
        <x:v>413</x:v>
      </x:c>
    </x:row>
    <x:row r="639" customHeight="1">
      <x:c r="A639" s="389">
        <x:v>8480790000</x:v>
      </x:c>
      <x:c r="B639" s="389" t="s">
        <x:v>1104</x:v>
      </x:c>
      <x:c r="D639" s="390" t="s">
        <x:v>413</x:v>
      </x:c>
    </x:row>
    <x:row r="640" customHeight="1">
      <x:c r="A640" s="389">
        <x:v>7326909000</x:v>
      </x:c>
      <x:c r="B640" s="389" t="s">
        <x:v>1105</x:v>
      </x:c>
      <x:c r="D640" s="390" t="s">
        <x:v>405</x:v>
      </x:c>
    </x:row>
    <x:row r="641" customHeight="1">
      <x:c r="A641" s="389">
        <x:v>8480790000</x:v>
      </x:c>
      <x:c r="B641" s="389" t="s">
        <x:v>1106</x:v>
      </x:c>
      <x:c r="D641" s="390" t="s">
        <x:v>413</x:v>
      </x:c>
    </x:row>
    <x:row r="642" customHeight="1">
      <x:c r="A642" s="389">
        <x:v>4819200000</x:v>
      </x:c>
      <x:c r="B642" s="389" t="s">
        <x:v>1107</x:v>
      </x:c>
      <x:c r="D642" s="390" t="s">
        <x:v>503</x:v>
      </x:c>
    </x:row>
    <x:row r="643" customHeight="1">
      <x:c r="A643" s="391">
        <x:v>3926909090</x:v>
      </x:c>
      <x:c r="B643" s="392" t="s">
        <x:v>1108</x:v>
      </x:c>
      <x:c r="C643" s="392"/>
      <x:c r="D643" s="394" t="s">
        <x:v>991</x:v>
      </x:c>
    </x:row>
    <x:row r="644" customHeight="1">
      <x:c r="A644" s="389">
        <x:v>8466100000</x:v>
      </x:c>
      <x:c r="B644" s="389" t="s">
        <x:v>1109</x:v>
      </x:c>
      <x:c r="D644" s="390" t="s">
        <x:v>1110</x:v>
      </x:c>
    </x:row>
    <x:row r="645" customHeight="1">
      <x:c r="A645" s="389">
        <x:v>8208101100</x:v>
      </x:c>
      <x:c r="B645" s="389" t="s">
        <x:v>1111</x:v>
      </x:c>
      <x:c r="D645" s="390" t="s">
        <x:v>1112</x:v>
      </x:c>
    </x:row>
    <x:row r="646" customHeight="1">
      <x:c r="A646" s="389">
        <x:v>8451500000</x:v>
      </x:c>
      <x:c r="B646" s="389" t="s">
        <x:v>1113</x:v>
      </x:c>
      <x:c r="D646" s="390" t="s">
        <x:v>1114</x:v>
      </x:c>
    </x:row>
    <x:row r="647" customHeight="1">
      <x:c r="A647" s="389">
        <x:v>8205590000</x:v>
      </x:c>
      <x:c r="B647" s="389" t="s">
        <x:v>1115</x:v>
      </x:c>
      <x:c r="D647" s="390" t="s">
        <x:v>1116</x:v>
      </x:c>
    </x:row>
    <x:row r="648" customHeight="1">
      <x:c r="A648" s="389">
        <x:v>8443999090</x:v>
      </x:c>
      <x:c r="B648" s="389" t="s">
        <x:v>1117</x:v>
      </x:c>
      <x:c r="D648" s="390" t="s">
        <x:v>284</x:v>
      </x:c>
    </x:row>
    <x:row r="649" customHeight="1">
      <x:c r="A649" s="389">
        <x:v>8468900000</x:v>
      </x:c>
      <x:c r="B649" s="389" t="s">
        <x:v>1118</x:v>
      </x:c>
      <x:c r="D649" s="390" t="s">
        <x:v>647</x:v>
      </x:c>
    </x:row>
    <x:row r="650" customHeight="1">
      <x:c r="A650" s="389">
        <x:v>9024800000</x:v>
      </x:c>
      <x:c r="B650" s="389" t="s">
        <x:v>1119</x:v>
      </x:c>
      <x:c r="D650" s="390" t="s">
        <x:v>1120</x:v>
      </x:c>
    </x:row>
    <x:row r="651" customHeight="1">
      <x:c r="A651" s="391">
        <x:v>8422400090</x:v>
      </x:c>
      <x:c r="B651" s="392" t="s">
        <x:v>1121</x:v>
      </x:c>
      <x:c r="C651" s="392"/>
      <x:c r="D651" s="394" t="s">
        <x:v>1122</x:v>
      </x:c>
    </x:row>
    <x:row r="652" customHeight="1">
      <x:c r="A652" s="389">
        <x:v>4002991100</x:v>
      </x:c>
      <x:c r="B652" s="389" t="s">
        <x:v>1123</x:v>
      </x:c>
      <x:c r="D652" s="390" t="s">
        <x:v>1124</x:v>
      </x:c>
    </x:row>
    <x:row r="653" customHeight="1">
      <x:c r="A653" s="389">
        <x:v>4002991100</x:v>
      </x:c>
      <x:c r="B653" s="389" t="s">
        <x:v>1125</x:v>
      </x:c>
      <x:c r="D653" s="390" t="s">
        <x:v>1126</x:v>
      </x:c>
    </x:row>
    <x:row r="654" customHeight="1">
      <x:c r="A654" s="391">
        <x:v>4908900000</x:v>
      </x:c>
      <x:c r="B654" s="392" t="s">
        <x:v>1127</x:v>
      </x:c>
      <x:c r="C654" s="392"/>
      <x:c r="D654" s="394" t="s">
        <x:v>1128</x:v>
      </x:c>
    </x:row>
    <x:row r="655" customHeight="1">
      <x:c r="A655" s="389">
        <x:v>3215902000</x:v>
      </x:c>
      <x:c r="B655" s="389" t="s">
        <x:v>1129</x:v>
      </x:c>
      <x:c r="D655" s="390" t="s">
        <x:v>1130</x:v>
      </x:c>
    </x:row>
    <x:row r="656" customHeight="1">
      <x:c r="A656" s="389">
        <x:v>3215902000</x:v>
      </x:c>
      <x:c r="B656" s="389" t="s">
        <x:v>1131</x:v>
      </x:c>
      <x:c r="D656" s="390" t="s">
        <x:v>1130</x:v>
      </x:c>
    </x:row>
    <x:row r="657" customHeight="1">
      <x:c r="A657" s="389">
        <x:v>3215902000</x:v>
      </x:c>
      <x:c r="B657" s="389" t="s">
        <x:v>1132</x:v>
      </x:c>
      <x:c r="D657" s="390" t="s">
        <x:v>1130</x:v>
      </x:c>
    </x:row>
    <x:row r="658" customHeight="1">
      <x:c r="A658" s="389">
        <x:v>3215902000</x:v>
      </x:c>
      <x:c r="B658" s="389" t="s">
        <x:v>1133</x:v>
      </x:c>
      <x:c r="D658" s="390" t="s">
        <x:v>1130</x:v>
      </x:c>
    </x:row>
    <x:row r="659" customHeight="1">
      <x:c r="A659" s="389">
        <x:v>3215902000</x:v>
      </x:c>
      <x:c r="B659" s="389" t="s">
        <x:v>1134</x:v>
      </x:c>
      <x:c r="D659" s="390" t="s">
        <x:v>1130</x:v>
      </x:c>
    </x:row>
    <x:row r="660" customHeight="1">
      <x:c r="A660" s="389">
        <x:v>3215902000</x:v>
      </x:c>
      <x:c r="B660" s="389" t="s">
        <x:v>1135</x:v>
      </x:c>
      <x:c r="D660" s="390" t="s">
        <x:v>1130</x:v>
      </x:c>
    </x:row>
    <x:row r="661" customHeight="1">
      <x:c r="A661" s="389">
        <x:v>3215902000</x:v>
      </x:c>
      <x:c r="B661" s="389" t="s">
        <x:v>1136</x:v>
      </x:c>
      <x:c r="D661" s="390" t="s">
        <x:v>1130</x:v>
      </x:c>
    </x:row>
    <x:row r="662" customHeight="1">
      <x:c r="A662" s="389">
        <x:v>3215902000</x:v>
      </x:c>
      <x:c r="B662" s="389" t="s">
        <x:v>1137</x:v>
      </x:c>
      <x:c r="D662" s="390" t="s">
        <x:v>1130</x:v>
      </x:c>
    </x:row>
    <x:row r="663" customHeight="1">
      <x:c r="A663" s="389">
        <x:v>4911101000</x:v>
      </x:c>
      <x:c r="B663" s="389" t="s">
        <x:v>1138</x:v>
      </x:c>
      <x:c r="D663" s="390" t="s">
        <x:v>397</x:v>
      </x:c>
    </x:row>
    <x:row r="664" customHeight="1">
      <x:c r="A664" s="389">
        <x:v>4821100000</x:v>
      </x:c>
      <x:c r="B664" s="389" t="s">
        <x:v>1139</x:v>
      </x:c>
      <x:c r="D664" s="390" t="s">
        <x:v>1140</x:v>
      </x:c>
    </x:row>
    <x:row r="665" customHeight="1">
      <x:c r="A665" s="391">
        <x:v>3926909090</x:v>
      </x:c>
      <x:c r="B665" s="397" t="s">
        <x:v>1141</x:v>
      </x:c>
      <x:c r="C665" s="397"/>
      <x:c r="D665" s="393" t="s">
        <x:v>625</x:v>
      </x:c>
    </x:row>
    <x:row r="666" customHeight="1">
      <x:c r="A666" s="391">
        <x:v>3926909090</x:v>
      </x:c>
      <x:c r="B666" s="397" t="s">
        <x:v>1142</x:v>
      </x:c>
      <x:c r="C666" s="397"/>
      <x:c r="D666" s="393" t="s">
        <x:v>625</x:v>
      </x:c>
    </x:row>
    <x:row r="667" customHeight="1">
      <x:c r="A667" s="391">
        <x:v>3926909090</x:v>
      </x:c>
      <x:c r="B667" s="397" t="s">
        <x:v>1143</x:v>
      </x:c>
      <x:c r="C667" s="397"/>
      <x:c r="D667" s="393" t="s">
        <x:v>625</x:v>
      </x:c>
    </x:row>
    <x:row r="668" customHeight="1">
      <x:c r="A668" s="391">
        <x:v>5609000000</x:v>
      </x:c>
      <x:c r="B668" s="392" t="s">
        <x:v>1144</x:v>
      </x:c>
      <x:c r="C668" s="392"/>
      <x:c r="D668" s="394" t="s">
        <x:v>799</x:v>
      </x:c>
    </x:row>
    <x:row r="669" customHeight="1">
      <x:c r="A669" s="389">
        <x:v>4819100000</x:v>
      </x:c>
      <x:c r="B669" s="389" t="s">
        <x:v>1145</x:v>
      </x:c>
      <x:c r="D669" s="390" t="s">
        <x:v>503</x:v>
      </x:c>
    </x:row>
    <x:row r="670" customHeight="1">
      <x:c r="A670" s="391">
        <x:v>4821100000</x:v>
      </x:c>
      <x:c r="B670" s="392" t="s">
        <x:v>1146</x:v>
      </x:c>
      <x:c r="C670" s="392"/>
      <x:c r="D670" s="393" t="s">
        <x:v>1147</x:v>
      </x:c>
    </x:row>
    <x:row r="671" customHeight="1">
      <x:c r="A671" s="389">
        <x:v>9503009000</x:v>
      </x:c>
      <x:c r="B671" s="389" t="s">
        <x:v>1148</x:v>
      </x:c>
      <x:c r="D671" s="390" t="s">
        <x:v>493</x:v>
      </x:c>
    </x:row>
    <x:row r="672" customHeight="1">
      <x:c r="A672" s="389">
        <x:v>8480790000</x:v>
      </x:c>
      <x:c r="B672" s="389" t="s">
        <x:v>1149</x:v>
      </x:c>
      <x:c r="D672" s="390" t="s">
        <x:v>413</x:v>
      </x:c>
    </x:row>
    <x:row r="673" customHeight="1">
      <x:c r="A673" s="389">
        <x:v>9503009000</x:v>
      </x:c>
      <x:c r="B673" s="389" t="s">
        <x:v>1150</x:v>
      </x:c>
      <x:c r="D673" s="390" t="s">
        <x:v>493</x:v>
      </x:c>
    </x:row>
    <x:row r="674" customHeight="1">
      <x:c r="A674" s="389">
        <x:v>8480790000</x:v>
      </x:c>
      <x:c r="B674" s="389" t="s">
        <x:v>1151</x:v>
      </x:c>
      <x:c r="D674" s="390" t="s">
        <x:v>413</x:v>
      </x:c>
    </x:row>
    <x:row r="675" customHeight="1">
      <x:c r="A675" s="389">
        <x:v>9503008900</x:v>
      </x:c>
      <x:c r="B675" s="389" t="s">
        <x:v>1152</x:v>
      </x:c>
      <x:c r="D675" s="390" t="s">
        <x:v>493</x:v>
      </x:c>
    </x:row>
    <x:row r="676" customHeight="1">
      <x:c r="A676" s="389">
        <x:v>9503009000</x:v>
      </x:c>
      <x:c r="B676" s="389" t="s">
        <x:v>1153</x:v>
      </x:c>
      <x:c r="D676" s="390" t="s">
        <x:v>493</x:v>
      </x:c>
    </x:row>
    <x:row r="677" customHeight="1">
      <x:c r="A677" s="389">
        <x:v>8480790000</x:v>
      </x:c>
      <x:c r="B677" s="389" t="s">
        <x:v>1154</x:v>
      </x:c>
      <x:c r="D677" s="390" t="s">
        <x:v>413</x:v>
      </x:c>
    </x:row>
    <x:row r="678" customHeight="1">
      <x:c r="A678" s="389">
        <x:v>4819200000</x:v>
      </x:c>
      <x:c r="B678" s="389" t="s">
        <x:v>1155</x:v>
      </x:c>
      <x:c r="D678" s="390" t="s">
        <x:v>503</x:v>
      </x:c>
    </x:row>
    <x:row r="679" customHeight="1">
      <x:c r="A679" s="389">
        <x:v>9503009000</x:v>
      </x:c>
      <x:c r="B679" s="389" t="s">
        <x:v>1156</x:v>
      </x:c>
      <x:c r="D679" s="390" t="s">
        <x:v>493</x:v>
      </x:c>
    </x:row>
    <x:row r="680" customHeight="1">
      <x:c r="A680" s="389">
        <x:v>9503009000</x:v>
      </x:c>
      <x:c r="B680" s="389" t="s">
        <x:v>1157</x:v>
      </x:c>
      <x:c r="D680" s="390" t="s">
        <x:v>493</x:v>
      </x:c>
    </x:row>
    <x:row r="681" customHeight="1">
      <x:c r="A681" s="389">
        <x:v>8480790000</x:v>
      </x:c>
      <x:c r="B681" s="389" t="s">
        <x:v>1158</x:v>
      </x:c>
      <x:c r="D681" s="390" t="s">
        <x:v>413</x:v>
      </x:c>
    </x:row>
    <x:row r="682" customHeight="1">
      <x:c r="A682" s="389">
        <x:v>8480790000</x:v>
      </x:c>
      <x:c r="B682" s="389" t="s">
        <x:v>1159</x:v>
      </x:c>
      <x:c r="D682" s="390" t="s">
        <x:v>413</x:v>
      </x:c>
    </x:row>
    <x:row r="683" customHeight="1">
      <x:c r="A683" s="405">
        <x:v>3923210000</x:v>
      </x:c>
      <x:c r="B683" s="392" t="s">
        <x:v>1160</x:v>
      </x:c>
      <x:c r="C683" s="392"/>
      <x:c r="D683" s="395" t="s">
        <x:v>1161</x:v>
      </x:c>
    </x:row>
    <x:row r="684" customHeight="1">
      <x:c r="A684" s="389">
        <x:v>7326909000</x:v>
      </x:c>
      <x:c r="B684" s="389" t="s">
        <x:v>1162</x:v>
      </x:c>
      <x:c r="D684" s="390" t="s">
        <x:v>426</x:v>
      </x:c>
    </x:row>
    <x:row r="685" customHeight="1">
      <x:c r="A685" s="389">
        <x:v>8467190000</x:v>
      </x:c>
      <x:c r="B685" s="389" t="s">
        <x:v>1163</x:v>
      </x:c>
      <x:c r="D685" s="390" t="s">
        <x:v>1164</x:v>
      </x:c>
    </x:row>
    <x:row r="686" customHeight="1">
      <x:c r="A686" s="389">
        <x:v>8472909000</x:v>
      </x:c>
      <x:c r="B686" s="389" t="s">
        <x:v>1165</x:v>
      </x:c>
      <x:c r="D686" s="390" t="s">
        <x:v>1166</x:v>
      </x:c>
    </x:row>
    <x:row r="687" customHeight="1">
      <x:c r="A687" s="389">
        <x:v>8427900000</x:v>
      </x:c>
      <x:c r="B687" s="389" t="s">
        <x:v>1167</x:v>
      </x:c>
      <x:c r="D687" s="390" t="s">
        <x:v>1168</x:v>
      </x:c>
    </x:row>
    <x:row r="688" customHeight="1">
      <x:c r="A688" s="391">
        <x:v>7326909090</x:v>
      </x:c>
      <x:c r="B688" s="392" t="s">
        <x:v>1169</x:v>
      </x:c>
      <x:c r="C688" s="392"/>
      <x:c r="D688" s="395" t="s">
        <x:v>405</x:v>
      </x:c>
    </x:row>
    <x:row r="689" customHeight="1">
      <x:c r="A689" s="405">
        <x:v>4819200000</x:v>
      </x:c>
      <x:c r="B689" s="392" t="s">
        <x:v>1170</x:v>
      </x:c>
      <x:c r="C689" s="392"/>
      <x:c r="D689" s="395" t="s">
        <x:v>503</x:v>
      </x:c>
    </x:row>
    <x:row r="690" customHeight="1">
      <x:c r="A690" s="391">
        <x:v>7326909090</x:v>
      </x:c>
      <x:c r="B690" s="392" t="s">
        <x:v>1171</x:v>
      </x:c>
      <x:c r="C690" s="392"/>
      <x:c r="D690" s="395" t="s">
        <x:v>405</x:v>
      </x:c>
    </x:row>
    <x:row r="691" customHeight="1">
      <x:c r="A691" s="389">
        <x:v>5807900000</x:v>
      </x:c>
      <x:c r="B691" s="389" t="s">
        <x:v>1172</x:v>
      </x:c>
      <x:c r="D691" s="390" t="s">
        <x:v>622</x:v>
      </x:c>
    </x:row>
    <x:row r="692" customHeight="1">
      <x:c r="A692" s="389">
        <x:v>5807900000</x:v>
      </x:c>
      <x:c r="B692" s="389" t="s">
        <x:v>1173</x:v>
      </x:c>
      <x:c r="D692" s="390" t="s">
        <x:v>622</x:v>
      </x:c>
    </x:row>
    <x:row r="693" customHeight="1">
      <x:c r="A693" s="389">
        <x:v>8452300000</x:v>
      </x:c>
      <x:c r="B693" s="389" t="s">
        <x:v>1174</x:v>
      </x:c>
      <x:c r="D693" s="390" t="s">
        <x:v>1175</x:v>
      </x:c>
    </x:row>
    <x:row r="694" customHeight="1">
      <x:c r="A694" s="391">
        <x:v>8208200000</x:v>
      </x:c>
      <x:c r="B694" s="392" t="s">
        <x:v>1176</x:v>
      </x:c>
      <x:c r="C694" s="392"/>
      <x:c r="D694" s="394" t="s">
        <x:v>1177</x:v>
      </x:c>
    </x:row>
    <x:row r="695" customHeight="1">
      <x:c r="A695" s="389">
        <x:v>9503008900</x:v>
      </x:c>
      <x:c r="B695" s="389" t="s">
        <x:v>1178</x:v>
      </x:c>
      <x:c r="D695" s="390" t="s">
        <x:v>493</x:v>
      </x:c>
    </x:row>
    <x:row r="696" customHeight="1">
      <x:c r="A696" s="389">
        <x:v>8480790000</x:v>
      </x:c>
      <x:c r="B696" s="389" t="s">
        <x:v>1179</x:v>
      </x:c>
      <x:c r="D696" s="390" t="s">
        <x:v>413</x:v>
      </x:c>
    </x:row>
    <x:row r="697" customHeight="1">
      <x:c r="A697" s="389">
        <x:v>3506100090</x:v>
      </x:c>
      <x:c r="B697" s="389" t="s">
        <x:v>1180</x:v>
      </x:c>
      <x:c r="D697" s="390" t="s">
        <x:v>1181</x:v>
      </x:c>
    </x:row>
    <x:row r="698" customHeight="1">
      <x:c r="A698" s="389">
        <x:v>4911101000</x:v>
      </x:c>
      <x:c r="B698" s="389" t="s">
        <x:v>1182</x:v>
      </x:c>
      <x:c r="D698" s="390" t="s">
        <x:v>1183</x:v>
      </x:c>
    </x:row>
    <x:row r="699" customHeight="1">
      <x:c r="A699" s="391">
        <x:v>4911101000</x:v>
      </x:c>
      <x:c r="B699" s="392" t="s">
        <x:v>1184</x:v>
      </x:c>
      <x:c r="C699" s="392"/>
      <x:c r="D699" s="394" t="s">
        <x:v>397</x:v>
      </x:c>
    </x:row>
    <x:row r="700" customHeight="1">
      <x:c r="A700" s="399">
        <x:v>4911101000</x:v>
      </x:c>
      <x:c r="B700" s="400" t="s">
        <x:v>1185</x:v>
      </x:c>
      <x:c r="C700" s="400"/>
      <x:c r="D700" s="394" t="s">
        <x:v>397</x:v>
      </x:c>
    </x:row>
    <x:row r="701" customHeight="1">
      <x:c r="A701" s="389">
        <x:v>8422303090</x:v>
      </x:c>
      <x:c r="B701" s="389" t="s">
        <x:v>1186</x:v>
      </x:c>
      <x:c r="D701" s="390" t="s">
        <x:v>1187</x:v>
      </x:c>
    </x:row>
    <x:row r="702" customHeight="1">
      <x:c r="A702" s="389">
        <x:v>3926909090</x:v>
      </x:c>
      <x:c r="B702" s="389" t="s">
        <x:v>1188</x:v>
      </x:c>
      <x:c r="D702" s="390" t="s">
        <x:v>290</x:v>
      </x:c>
    </x:row>
    <x:row r="703" customHeight="1">
      <x:c r="A703" s="389">
        <x:v>3926909090</x:v>
      </x:c>
      <x:c r="B703" s="389" t="s">
        <x:v>1189</x:v>
      </x:c>
      <x:c r="D703" s="390" t="s">
        <x:v>290</x:v>
      </x:c>
    </x:row>
    <x:row r="704" customHeight="1">
      <x:c r="A704" s="389">
        <x:v>9503009000</x:v>
      </x:c>
      <x:c r="B704" s="389" t="s">
        <x:v>1190</x:v>
      </x:c>
      <x:c r="D704" s="390" t="s">
        <x:v>1191</x:v>
      </x:c>
    </x:row>
    <x:row r="705" customHeight="1">
      <x:c r="A705" s="389">
        <x:v>9503009000</x:v>
      </x:c>
      <x:c r="B705" s="389" t="s">
        <x:v>1192</x:v>
      </x:c>
      <x:c r="D705" s="390" t="s">
        <x:v>1193</x:v>
      </x:c>
    </x:row>
    <x:row r="706" customHeight="1">
      <x:c r="A706" s="391">
        <x:v>9503009000</x:v>
      </x:c>
      <x:c r="B706" s="392" t="s">
        <x:v>1194</x:v>
      </x:c>
      <x:c r="C706" s="392"/>
      <x:c r="D706" s="393" t="s">
        <x:v>1195</x:v>
      </x:c>
    </x:row>
    <x:row r="707" customHeight="1">
      <x:c r="A707" s="389">
        <x:v>9503009000</x:v>
      </x:c>
      <x:c r="B707" s="389" t="s">
        <x:v>1196</x:v>
      </x:c>
    </x:row>
    <x:row r="708" customHeight="1">
      <x:c r="A708" s="389">
        <x:v>7326909000</x:v>
      </x:c>
      <x:c r="B708" s="389" t="s">
        <x:v>1197</x:v>
      </x:c>
      <x:c r="D708" s="390" t="s">
        <x:v>1198</x:v>
      </x:c>
    </x:row>
    <x:row r="709" customHeight="1">
      <x:c r="A709" s="389">
        <x:v>7326909000</x:v>
      </x:c>
      <x:c r="B709" s="389" t="s">
        <x:v>1199</x:v>
      </x:c>
      <x:c r="D709" s="390" t="s">
        <x:v>1198</x:v>
      </x:c>
    </x:row>
    <x:row r="710" customHeight="1">
      <x:c r="A710" s="389">
        <x:v>8480790000</x:v>
      </x:c>
      <x:c r="B710" s="389" t="s">
        <x:v>1200</x:v>
      </x:c>
    </x:row>
    <x:row r="711" customHeight="1">
      <x:c r="A711" s="389">
        <x:v>8452300000</x:v>
      </x:c>
      <x:c r="B711" s="389" t="s">
        <x:v>1201</x:v>
      </x:c>
      <x:c r="D711" s="390" t="s">
        <x:v>1202</x:v>
      </x:c>
    </x:row>
    <x:row r="712" customHeight="1">
      <x:c r="A712" s="389">
        <x:v>8480790000</x:v>
      </x:c>
      <x:c r="B712" s="389" t="s">
        <x:v>1203</x:v>
      </x:c>
    </x:row>
    <x:row r="713" customHeight="1">
      <x:c r="A713" s="389">
        <x:v>8480790000</x:v>
      </x:c>
      <x:c r="B713" s="389" t="s">
        <x:v>1204</x:v>
      </x:c>
    </x:row>
    <x:row r="714" customHeight="1">
      <x:c r="A714" s="389">
        <x:v>9504200090</x:v>
      </x:c>
      <x:c r="B714" s="389" t="s">
        <x:v>1205</x:v>
      </x:c>
    </x:row>
    <x:row r="715" customHeight="1">
      <x:c r="A715" s="389">
        <x:v>8205100000</x:v>
      </x:c>
      <x:c r="B715" s="389" t="s">
        <x:v>1206</x:v>
      </x:c>
      <x:c r="D715" s="390" t="s">
        <x:v>1207</x:v>
      </x:c>
    </x:row>
    <x:row r="716" customHeight="1">
      <x:c r="A716" s="389">
        <x:v>8464201000</x:v>
      </x:c>
      <x:c r="B716" s="389" t="s">
        <x:v>1208</x:v>
      </x:c>
      <x:c r="D716" s="390" t="s">
        <x:v>1209</x:v>
      </x:c>
    </x:row>
    <x:row r="717" customHeight="1">
      <x:c r="A717" s="389">
        <x:v>8506109010</x:v>
      </x:c>
      <x:c r="B717" s="389" t="s">
        <x:v>1210</x:v>
      </x:c>
      <x:c r="D717" s="390" t="s">
        <x:v>392</x:v>
      </x:c>
    </x:row>
    <x:row r="718" customHeight="1">
      <x:c r="A718" s="389">
        <x:v>9503008900</x:v>
      </x:c>
      <x:c r="B718" s="389" t="s">
        <x:v>1211</x:v>
      </x:c>
      <x:c r="D718" s="390" t="s">
        <x:v>493</x:v>
      </x:c>
    </x:row>
    <x:row r="719" customHeight="1">
      <x:c r="A719" s="389">
        <x:v>4819100000</x:v>
      </x:c>
      <x:c r="B719" s="389" t="s">
        <x:v>1212</x:v>
      </x:c>
      <x:c r="D719" s="390" t="s">
        <x:v>266</x:v>
      </x:c>
    </x:row>
    <x:row r="720" customHeight="1">
      <x:c r="A720" s="389">
        <x:v>4821100000</x:v>
      </x:c>
      <x:c r="B720" s="389" t="s">
        <x:v>1213</x:v>
      </x:c>
      <x:c r="D720" s="390" t="s">
        <x:v>481</x:v>
      </x:c>
    </x:row>
    <x:row r="721" customHeight="1">
      <x:c r="A721" s="391">
        <x:v>4819200000</x:v>
      </x:c>
      <x:c r="B721" s="392" t="s">
        <x:v>1214</x:v>
      </x:c>
      <x:c r="C721" s="392"/>
      <x:c r="D721" s="393" t="s">
        <x:v>266</x:v>
      </x:c>
    </x:row>
    <x:row r="722" customHeight="1">
      <x:c r="A722" s="391">
        <x:v>4821100000</x:v>
      </x:c>
      <x:c r="B722" s="392" t="s">
        <x:v>1215</x:v>
      </x:c>
      <x:c r="C722" s="392"/>
      <x:c r="D722" s="393" t="s">
        <x:v>1216</x:v>
      </x:c>
    </x:row>
    <x:row r="723" customHeight="1">
      <x:c r="A723" s="389">
        <x:v>7326909000</x:v>
      </x:c>
      <x:c r="B723" s="389" t="s">
        <x:v>1217</x:v>
      </x:c>
      <x:c r="D723" s="390" t="s">
        <x:v>405</x:v>
      </x:c>
    </x:row>
    <x:row r="724" customHeight="1">
      <x:c r="A724" s="391">
        <x:v>4821100000</x:v>
      </x:c>
      <x:c r="B724" s="392" t="s">
        <x:v>1218</x:v>
      </x:c>
      <x:c r="C724" s="392"/>
      <x:c r="D724" s="396" t="s">
        <x:v>1219</x:v>
      </x:c>
    </x:row>
    <x:row r="725" customHeight="1">
      <x:c r="A725" s="389">
        <x:v>4821100000</x:v>
      </x:c>
      <x:c r="B725" s="389" t="s">
        <x:v>1220</x:v>
      </x:c>
      <x:c r="D725" s="390" t="s">
        <x:v>1221</x:v>
      </x:c>
    </x:row>
    <x:row r="726" customHeight="1">
      <x:c r="A726" s="389">
        <x:v>8311100000</x:v>
      </x:c>
      <x:c r="B726" s="389" t="s">
        <x:v>1222</x:v>
      </x:c>
      <x:c r="D726" s="390" t="s">
        <x:v>1223</x:v>
      </x:c>
    </x:row>
    <x:row r="727" customHeight="1">
      <x:c r="A727" s="389">
        <x:v>7326909000</x:v>
      </x:c>
      <x:c r="B727" s="389" t="s">
        <x:v>1224</x:v>
      </x:c>
      <x:c r="D727" s="390" t="s">
        <x:v>405</x:v>
      </x:c>
    </x:row>
    <x:row r="728" customHeight="1">
      <x:c r="A728" s="391">
        <x:v>4819100000</x:v>
      </x:c>
      <x:c r="B728" s="392" t="s">
        <x:v>1225</x:v>
      </x:c>
      <x:c r="C728" s="392"/>
      <x:c r="D728" s="394" t="s">
        <x:v>266</x:v>
      </x:c>
    </x:row>
    <x:row r="729" customHeight="1">
      <x:c r="A729" s="389">
        <x:v>4010390000</x:v>
      </x:c>
      <x:c r="B729" s="389" t="s">
        <x:v>1226</x:v>
      </x:c>
    </x:row>
    <x:row r="730" customHeight="1">
      <x:c r="A730" s="391">
        <x:v>7326909000</x:v>
      </x:c>
      <x:c r="B730" s="392" t="s">
        <x:v>1227</x:v>
      </x:c>
      <x:c r="C730" s="392"/>
      <x:c r="D730" s="395" t="s">
        <x:v>405</x:v>
      </x:c>
    </x:row>
    <x:row r="731" customHeight="1">
      <x:c r="A731" s="391">
        <x:v>7326909000</x:v>
      </x:c>
      <x:c r="B731" s="392" t="s">
        <x:v>1228</x:v>
      </x:c>
      <x:c r="C731" s="392"/>
      <x:c r="D731" s="395" t="s">
        <x:v>405</x:v>
      </x:c>
    </x:row>
    <x:row r="732" customHeight="1">
      <x:c r="A732" s="389">
        <x:v>9503009000</x:v>
      </x:c>
      <x:c r="B732" s="389" t="s">
        <x:v>1229</x:v>
      </x:c>
      <x:c r="D732" s="390" t="s">
        <x:v>1230</x:v>
      </x:c>
    </x:row>
    <x:row r="733" customHeight="1">
      <x:c r="A733" s="389">
        <x:v>9004909000</x:v>
      </x:c>
      <x:c r="B733" s="389" t="s">
        <x:v>1231</x:v>
      </x:c>
      <x:c r="D733" s="390" t="s">
        <x:v>727</x:v>
      </x:c>
    </x:row>
    <x:row r="734" customHeight="1">
      <x:c r="A734" s="391">
        <x:v>4819100000</x:v>
      </x:c>
      <x:c r="B734" s="392" t="s">
        <x:v>1232</x:v>
      </x:c>
      <x:c r="C734" s="392"/>
      <x:c r="D734" s="394" t="s">
        <x:v>503</x:v>
      </x:c>
    </x:row>
    <x:row r="735" customHeight="1">
      <x:c r="A735" s="389">
        <x:v>3926909090</x:v>
      </x:c>
      <x:c r="B735" s="389" t="s">
        <x:v>1233</x:v>
      </x:c>
      <x:c r="D735" s="390" t="s">
        <x:v>449</x:v>
      </x:c>
    </x:row>
    <x:row r="736" customHeight="1">
      <x:c r="A736" s="389">
        <x:v>7319900000</x:v>
      </x:c>
      <x:c r="B736" s="389" t="s">
        <x:v>1234</x:v>
      </x:c>
      <x:c r="D736" s="390" t="s">
        <x:v>650</x:v>
      </x:c>
    </x:row>
    <x:row r="737" customHeight="1">
      <x:c r="A737" s="391">
        <x:v>3926909090</x:v>
      </x:c>
      <x:c r="B737" s="392" t="s">
        <x:v>1235</x:v>
      </x:c>
      <x:c r="C737" s="392"/>
      <x:c r="D737" s="393" t="s">
        <x:v>991</x:v>
      </x:c>
    </x:row>
    <x:row r="738" customHeight="1">
      <x:c r="A738" s="389">
        <x:v>9503009000</x:v>
      </x:c>
      <x:c r="B738" s="389" t="s">
        <x:v>1236</x:v>
      </x:c>
      <x:c r="D738" s="390" t="s">
        <x:v>1237</x:v>
      </x:c>
    </x:row>
    <x:row r="739" customHeight="1">
      <x:c r="A739" s="389">
        <x:v>3923290000</x:v>
      </x:c>
      <x:c r="B739" s="389" t="s">
        <x:v>1238</x:v>
      </x:c>
      <x:c r="D739" s="390" t="s">
        <x:v>1239</x:v>
      </x:c>
    </x:row>
    <x:row r="740" customHeight="1">
      <x:c r="A740" s="389">
        <x:v>3919109900</x:v>
      </x:c>
      <x:c r="B740" s="389" t="s">
        <x:v>1240</x:v>
      </x:c>
      <x:c r="D740" s="390" t="s">
        <x:v>1241</x:v>
      </x:c>
    </x:row>
    <x:row r="741" customHeight="1">
      <x:c r="A741" s="389">
        <x:v>4819200000</x:v>
      </x:c>
      <x:c r="B741" s="389" t="s">
        <x:v>1242</x:v>
      </x:c>
      <x:c r="D741" s="390" t="s">
        <x:v>266</x:v>
      </x:c>
    </x:row>
    <x:row r="742" customHeight="1">
      <x:c r="A742" s="389">
        <x:v>7325101000</x:v>
      </x:c>
      <x:c r="B742" s="389" t="s">
        <x:v>1243</x:v>
      </x:c>
      <x:c r="D742" s="390" t="s">
        <x:v>1090</x:v>
      </x:c>
    </x:row>
    <x:row r="743" customHeight="1">
      <x:c r="A743" s="389">
        <x:v>8516800000</x:v>
      </x:c>
      <x:c r="B743" s="389" t="s">
        <x:v>1244</x:v>
      </x:c>
      <x:c r="D743" s="390" t="s">
        <x:v>556</x:v>
      </x:c>
    </x:row>
    <x:row r="744" customHeight="1">
      <x:c r="A744" s="389">
        <x:v>8443999090</x:v>
      </x:c>
      <x:c r="B744" s="389" t="s">
        <x:v>1245</x:v>
      </x:c>
      <x:c r="D744" s="390" t="s">
        <x:v>284</x:v>
      </x:c>
    </x:row>
    <x:row r="745" customHeight="1">
      <x:c r="A745" s="389">
        <x:v>9503009000</x:v>
      </x:c>
      <x:c r="B745" s="389" t="s">
        <x:v>1246</x:v>
      </x:c>
    </x:row>
    <x:row r="746" customHeight="1">
      <x:c r="A746" s="389">
        <x:v>8480790000</x:v>
      </x:c>
      <x:c r="B746" s="389" t="s">
        <x:v>1247</x:v>
      </x:c>
    </x:row>
    <x:row r="747" customHeight="1">
      <x:c r="A747" s="391">
        <x:v>4821100000</x:v>
      </x:c>
      <x:c r="B747" s="392" t="s">
        <x:v>1248</x:v>
      </x:c>
      <x:c r="C747" s="392"/>
      <x:c r="D747" s="394" t="s">
        <x:v>1249</x:v>
      </x:c>
    </x:row>
    <x:row r="748" customHeight="1">
      <x:c r="A748" s="391">
        <x:v>4821100000</x:v>
      </x:c>
      <x:c r="B748" s="392" t="s">
        <x:v>1250</x:v>
      </x:c>
      <x:c r="C748" s="392"/>
      <x:c r="D748" s="394" t="s">
        <x:v>1249</x:v>
      </x:c>
    </x:row>
    <x:row r="749" customHeight="1">
      <x:c r="A749" s="391">
        <x:v>4821100000</x:v>
      </x:c>
      <x:c r="B749" s="392" t="s">
        <x:v>1251</x:v>
      </x:c>
      <x:c r="C749" s="392"/>
      <x:c r="D749" s="394" t="s">
        <x:v>1249</x:v>
      </x:c>
    </x:row>
    <x:row r="750" customHeight="1">
      <x:c r="A750" s="389">
        <x:v>3923900000</x:v>
      </x:c>
      <x:c r="B750" s="389" t="s">
        <x:v>1252</x:v>
      </x:c>
      <x:c r="D750" s="390" t="s">
        <x:v>1253</x:v>
      </x:c>
    </x:row>
    <x:row r="751" customHeight="1">
      <x:c r="A751" s="389">
        <x:v>8480790000</x:v>
      </x:c>
      <x:c r="B751" s="389" t="s">
        <x:v>1254</x:v>
      </x:c>
      <x:c r="D751" s="390" t="s">
        <x:v>413</x:v>
      </x:c>
    </x:row>
    <x:row r="752" customHeight="1">
      <x:c r="A752" s="389">
        <x:v>3923900000</x:v>
      </x:c>
      <x:c r="B752" s="389" t="s">
        <x:v>1255</x:v>
      </x:c>
      <x:c r="D752" s="390" t="s">
        <x:v>290</x:v>
      </x:c>
    </x:row>
    <x:row r="753" customHeight="1">
      <x:c r="A753" s="389">
        <x:v>8459699000</x:v>
      </x:c>
      <x:c r="B753" s="389" t="s">
        <x:v>1256</x:v>
      </x:c>
    </x:row>
    <x:row r="754" customHeight="1">
      <x:c r="A754" s="389">
        <x:v>5806320000</x:v>
      </x:c>
      <x:c r="B754" s="389" t="s">
        <x:v>1257</x:v>
      </x:c>
      <x:c r="D754" s="390" t="s">
        <x:v>1258</x:v>
      </x:c>
    </x:row>
    <x:row r="755" customHeight="1">
      <x:c r="A755" s="389">
        <x:v>7326909000</x:v>
      </x:c>
      <x:c r="B755" s="389" t="s">
        <x:v>1259</x:v>
      </x:c>
      <x:c r="D755" s="390" t="s">
        <x:v>426</x:v>
      </x:c>
    </x:row>
    <x:row r="756" customHeight="1">
      <x:c r="A756" s="389">
        <x:v>8428200000</x:v>
      </x:c>
      <x:c r="B756" s="389" t="s">
        <x:v>1260</x:v>
      </x:c>
      <x:c r="D756" s="390" t="s">
        <x:v>1261</x:v>
      </x:c>
    </x:row>
    <x:row r="757" customHeight="1">
      <x:c r="A757" s="391">
        <x:v>3923900000</x:v>
      </x:c>
      <x:c r="B757" s="392" t="s">
        <x:v>11</x:v>
      </x:c>
      <x:c r="C757" s="392"/>
      <x:c r="D757" s="393" t="s">
        <x:v>290</x:v>
      </x:c>
    </x:row>
    <x:row r="758" customHeight="1">
      <x:c r="A758" s="389">
        <x:v>3923900000</x:v>
      </x:c>
      <x:c r="B758" s="389" t="s">
        <x:v>1262</x:v>
      </x:c>
      <x:c r="D758" s="390" t="s">
        <x:v>290</x:v>
      </x:c>
    </x:row>
    <x:row r="759" customHeight="1">
      <x:c r="A759" s="389">
        <x:v>3923900000</x:v>
      </x:c>
      <x:c r="B759" s="389" t="s">
        <x:v>1263</x:v>
      </x:c>
      <x:c r="D759" s="390" t="s">
        <x:v>290</x:v>
      </x:c>
    </x:row>
    <x:row r="760" customHeight="1">
      <x:c r="A760" s="389">
        <x:v>3923900000</x:v>
      </x:c>
      <x:c r="B760" s="389" t="s">
        <x:v>1264</x:v>
      </x:c>
      <x:c r="D760" s="390" t="s">
        <x:v>290</x:v>
      </x:c>
    </x:row>
    <x:row r="761" customHeight="1">
      <x:c r="A761" s="391">
        <x:v>3923900000</x:v>
      </x:c>
      <x:c r="B761" s="392" t="s">
        <x:v>1265</x:v>
      </x:c>
      <x:c r="C761" s="392"/>
      <x:c r="D761" s="393" t="s">
        <x:v>290</x:v>
      </x:c>
    </x:row>
    <x:row r="762" customHeight="1">
      <x:c r="A762" s="389">
        <x:v>4819200000</x:v>
      </x:c>
      <x:c r="B762" s="389" t="s">
        <x:v>1266</x:v>
      </x:c>
      <x:c r="D762" s="390" t="s">
        <x:v>266</x:v>
      </x:c>
    </x:row>
    <x:row r="763" customHeight="1">
      <x:c r="A763" s="391">
        <x:v>4819100000</x:v>
      </x:c>
      <x:c r="B763" s="392" t="s">
        <x:v>1267</x:v>
      </x:c>
      <x:c r="C763" s="392"/>
      <x:c r="D763" s="393" t="s">
        <x:v>503</x:v>
      </x:c>
    </x:row>
    <x:row r="764" customHeight="1">
      <x:c r="A764" s="389">
        <x:v>3923900000</x:v>
      </x:c>
      <x:c r="B764" s="389" t="s">
        <x:v>1268</x:v>
      </x:c>
      <x:c r="D764" s="390" t="s">
        <x:v>290</x:v>
      </x:c>
    </x:row>
    <x:row r="765" customHeight="1">
      <x:c r="A765" s="389">
        <x:v>3923900000</x:v>
      </x:c>
      <x:c r="B765" s="389" t="s">
        <x:v>1269</x:v>
      </x:c>
      <x:c r="D765" s="390" t="s">
        <x:v>290</x:v>
      </x:c>
    </x:row>
    <x:row r="766" customHeight="1">
      <x:c r="A766" s="389">
        <x:v>8480790000</x:v>
      </x:c>
      <x:c r="B766" s="389" t="s">
        <x:v>1270</x:v>
      </x:c>
      <x:c r="D766" s="390" t="s">
        <x:v>413</x:v>
      </x:c>
    </x:row>
    <x:row r="767" customHeight="1">
      <x:c r="A767" s="389">
        <x:v>3923900000</x:v>
      </x:c>
      <x:c r="B767" s="389" t="s">
        <x:v>1271</x:v>
      </x:c>
      <x:c r="D767" s="390" t="s">
        <x:v>385</x:v>
      </x:c>
    </x:row>
    <x:row r="768" customHeight="1">
      <x:c r="A768" s="389">
        <x:v>3923900000</x:v>
      </x:c>
      <x:c r="B768" s="389" t="s">
        <x:v>1272</x:v>
      </x:c>
    </x:row>
    <x:row r="769" customHeight="1">
      <x:c r="A769" s="389">
        <x:v>3923900000</x:v>
      </x:c>
      <x:c r="B769" s="389" t="s">
        <x:v>1273</x:v>
      </x:c>
      <x:c r="D769" s="390" t="s">
        <x:v>290</x:v>
      </x:c>
    </x:row>
    <x:row r="770" customHeight="1">
      <x:c r="A770" s="389">
        <x:v>3923900000</x:v>
      </x:c>
      <x:c r="B770" s="389" t="s">
        <x:v>1274</x:v>
      </x:c>
    </x:row>
    <x:row r="771" customHeight="1">
      <x:c r="A771" s="389">
        <x:v>3923900000</x:v>
      </x:c>
      <x:c r="B771" s="389" t="s">
        <x:v>1275</x:v>
      </x:c>
    </x:row>
    <x:row r="772" customHeight="1">
      <x:c r="A772" s="389">
        <x:v>3923900000</x:v>
      </x:c>
      <x:c r="B772" s="389" t="s">
        <x:v>1276</x:v>
      </x:c>
      <x:c r="D772" s="390" t="s">
        <x:v>290</x:v>
      </x:c>
    </x:row>
    <x:row r="773" customHeight="1">
      <x:c r="A773" s="391">
        <x:v>5506909000</x:v>
      </x:c>
      <x:c r="B773" s="392" t="s">
        <x:v>1277</x:v>
      </x:c>
      <x:c r="C773" s="392"/>
      <x:c r="D773" s="393" t="s">
        <x:v>1278</x:v>
      </x:c>
    </x:row>
    <x:row r="774" customHeight="1">
      <x:c r="A774" s="389">
        <x:v>8480790000</x:v>
      </x:c>
      <x:c r="B774" s="389" t="s">
        <x:v>1279</x:v>
      </x:c>
      <x:c r="D774" s="390" t="s">
        <x:v>413</x:v>
      </x:c>
    </x:row>
    <x:row r="775" customHeight="1">
      <x:c r="A775" s="389">
        <x:v>8443999090</x:v>
      </x:c>
      <x:c r="B775" s="389" t="s">
        <x:v>1280</x:v>
      </x:c>
      <x:c r="D775" s="390" t="s">
        <x:v>284</x:v>
      </x:c>
    </x:row>
    <x:row r="776" customHeight="1">
      <x:c r="A776" s="389">
        <x:v>8480790000</x:v>
      </x:c>
      <x:c r="B776" s="389" t="s">
        <x:v>1281</x:v>
      </x:c>
    </x:row>
    <x:row r="777" customHeight="1">
      <x:c r="A777" s="389">
        <x:v>8213000000</x:v>
      </x:c>
      <x:c r="B777" s="389" t="s">
        <x:v>1282</x:v>
      </x:c>
      <x:c r="D777" s="390" t="s">
        <x:v>1283</x:v>
      </x:c>
    </x:row>
    <x:row r="778" customHeight="1">
      <x:c r="A778" s="389">
        <x:v>3923900000</x:v>
      </x:c>
      <x:c r="B778" s="389" t="s">
        <x:v>1284</x:v>
      </x:c>
      <x:c r="D778" s="390" t="s">
        <x:v>290</x:v>
      </x:c>
    </x:row>
    <x:row r="779" customHeight="1">
      <x:c r="A779" s="389">
        <x:v>7326909000</x:v>
      </x:c>
      <x:c r="B779" s="389" t="s">
        <x:v>1285</x:v>
      </x:c>
      <x:c r="D779" s="390" t="s">
        <x:v>922</x:v>
      </x:c>
    </x:row>
    <x:row r="780" customHeight="1">
      <x:c r="A780" s="389">
        <x:v>8422200000</x:v>
      </x:c>
      <x:c r="B780" s="389" t="s">
        <x:v>1286</x:v>
      </x:c>
      <x:c r="D780" s="390" t="s">
        <x:v>1287</x:v>
      </x:c>
    </x:row>
    <x:row r="781" customHeight="1">
      <x:c r="A781" s="389">
        <x:v>8203200090</x:v>
      </x:c>
      <x:c r="B781" s="389" t="s">
        <x:v>1288</x:v>
      </x:c>
      <x:c r="D781" s="390" t="s">
        <x:v>1289</x:v>
      </x:c>
    </x:row>
    <x:row r="782" customHeight="1">
      <x:c r="A782" s="389">
        <x:v>8467920000</x:v>
      </x:c>
      <x:c r="B782" s="389" t="s">
        <x:v>1290</x:v>
      </x:c>
      <x:c r="D782" s="390" t="s">
        <x:v>1291</x:v>
      </x:c>
    </x:row>
    <x:row r="783" customHeight="1">
      <x:c r="A783" s="389">
        <x:v>3926901000</x:v>
      </x:c>
      <x:c r="B783" s="389" t="s">
        <x:v>1292</x:v>
      </x:c>
      <x:c r="D783" s="390" t="s">
        <x:v>290</x:v>
      </x:c>
    </x:row>
    <x:row r="784" customHeight="1">
      <x:c r="A784" s="389">
        <x:v>8467890000</x:v>
      </x:c>
      <x:c r="B784" s="389" t="s">
        <x:v>1293</x:v>
      </x:c>
      <x:c r="D784" s="390" t="s">
        <x:v>1294</x:v>
      </x:c>
    </x:row>
    <x:row r="785" customHeight="1">
      <x:c r="A785" s="389">
        <x:v>9603302090</x:v>
      </x:c>
      <x:c r="B785" s="389" t="s">
        <x:v>1295</x:v>
      </x:c>
      <x:c r="D785" s="390" t="s">
        <x:v>612</x:v>
      </x:c>
    </x:row>
    <x:row r="786" customHeight="1">
      <x:c r="A786" s="391">
        <x:v>7326909000</x:v>
      </x:c>
      <x:c r="B786" s="392" t="s">
        <x:v>1296</x:v>
      </x:c>
      <x:c r="C786" s="392"/>
      <x:c r="D786" s="393" t="s">
        <x:v>405</x:v>
      </x:c>
    </x:row>
    <x:row r="787" customHeight="1">
      <x:c r="A787" s="391">
        <x:v>7326909000</x:v>
      </x:c>
      <x:c r="B787" s="392" t="s">
        <x:v>1297</x:v>
      </x:c>
      <x:c r="C787" s="392"/>
      <x:c r="D787" s="393" t="s">
        <x:v>405</x:v>
      </x:c>
    </x:row>
    <x:row r="788" customHeight="1">
      <x:c r="A788" s="389">
        <x:v>8467890000</x:v>
      </x:c>
      <x:c r="B788" s="389" t="s">
        <x:v>1298</x:v>
      </x:c>
      <x:c r="D788" s="390" t="s">
        <x:v>1299</x:v>
      </x:c>
    </x:row>
    <x:row r="789" customHeight="1">
      <x:c r="A789" s="389">
        <x:v>3923900000</x:v>
      </x:c>
      <x:c r="B789" s="389" t="s">
        <x:v>1300</x:v>
      </x:c>
      <x:c r="D789" s="390" t="s">
        <x:v>290</x:v>
      </x:c>
    </x:row>
    <x:row r="790" customHeight="1">
      <x:c r="A790" s="391">
        <x:v>7326909090</x:v>
      </x:c>
      <x:c r="B790" s="392" t="s">
        <x:v>1301</x:v>
      </x:c>
      <x:c r="C790" s="392"/>
      <x:c r="D790" s="395" t="s">
        <x:v>405</x:v>
      </x:c>
    </x:row>
    <x:row r="791" customHeight="1">
      <x:c r="A791" s="389">
        <x:v>8443999090</x:v>
      </x:c>
      <x:c r="B791" s="389" t="s">
        <x:v>1302</x:v>
      </x:c>
      <x:c r="D791" s="390" t="s">
        <x:v>284</x:v>
      </x:c>
    </x:row>
    <x:row r="792" customHeight="1">
      <x:c r="A792" s="389">
        <x:v>7326909000</x:v>
      </x:c>
      <x:c r="B792" s="389" t="s">
        <x:v>1303</x:v>
      </x:c>
    </x:row>
    <x:row r="793" customHeight="1">
      <x:c r="A793" s="391">
        <x:v>8481400000</x:v>
      </x:c>
      <x:c r="B793" s="397" t="s">
        <x:v>1304</x:v>
      </x:c>
      <x:c r="C793" s="397"/>
      <x:c r="D793" s="393" t="s">
        <x:v>1305</x:v>
      </x:c>
    </x:row>
    <x:row r="794" customHeight="1">
      <x:c r="A794" s="389">
        <x:v>7326909000</x:v>
      </x:c>
      <x:c r="B794" s="389" t="s">
        <x:v>1306</x:v>
      </x:c>
    </x:row>
    <x:row r="795" customHeight="1">
      <x:c r="A795" s="391">
        <x:v>4819200000</x:v>
      </x:c>
      <x:c r="B795" s="392" t="s">
        <x:v>1307</x:v>
      </x:c>
      <x:c r="C795" s="392"/>
      <x:c r="D795" s="394" t="s">
        <x:v>266</x:v>
      </x:c>
    </x:row>
    <x:row r="796" customHeight="1">
      <x:c r="A796" s="389">
        <x:v>8480790000</x:v>
      </x:c>
      <x:c r="B796" s="389" t="s">
        <x:v>1308</x:v>
      </x:c>
    </x:row>
    <x:row r="797" customHeight="1">
      <x:c r="A797" s="389">
        <x:v>7326909000</x:v>
      </x:c>
      <x:c r="B797" s="389" t="s">
        <x:v>1309</x:v>
      </x:c>
    </x:row>
    <x:row r="798" customHeight="1">
      <x:c r="A798" s="391">
        <x:v>7326909090</x:v>
      </x:c>
      <x:c r="B798" s="392" t="s">
        <x:v>1310</x:v>
      </x:c>
      <x:c r="C798" s="392"/>
      <x:c r="D798" s="395" t="s">
        <x:v>405</x:v>
      </x:c>
    </x:row>
    <x:row r="799" customHeight="1">
      <x:c r="A799" s="391">
        <x:v>7326909090</x:v>
      </x:c>
      <x:c r="B799" s="392" t="s">
        <x:v>1311</x:v>
      </x:c>
      <x:c r="C799" s="392"/>
      <x:c r="D799" s="395" t="s">
        <x:v>413</x:v>
      </x:c>
    </x:row>
    <x:row r="800" customHeight="1">
      <x:c r="A800" s="391">
        <x:v>7326909090</x:v>
      </x:c>
      <x:c r="B800" s="392" t="s">
        <x:v>1312</x:v>
      </x:c>
      <x:c r="C800" s="392"/>
      <x:c r="D800" s="395" t="s">
        <x:v>413</x:v>
      </x:c>
    </x:row>
    <x:row r="801" customHeight="1">
      <x:c r="A801" s="391">
        <x:v>8467999000</x:v>
      </x:c>
      <x:c r="B801" s="392" t="s">
        <x:v>1313</x:v>
      </x:c>
      <x:c r="C801" s="392"/>
      <x:c r="D801" s="393" t="s">
        <x:v>1314</x:v>
      </x:c>
    </x:row>
    <x:row r="802" customHeight="1">
      <x:c r="A802" s="391">
        <x:v>8467999000</x:v>
      </x:c>
      <x:c r="B802" s="392" t="s">
        <x:v>1315</x:v>
      </x:c>
      <x:c r="C802" s="392"/>
      <x:c r="D802" s="393" t="s">
        <x:v>1314</x:v>
      </x:c>
    </x:row>
    <x:row r="803" customHeight="1">
      <x:c r="A803" s="389">
        <x:v>9503008900</x:v>
      </x:c>
      <x:c r="B803" s="389" t="s">
        <x:v>1316</x:v>
      </x:c>
      <x:c r="D803" s="390" t="s">
        <x:v>493</x:v>
      </x:c>
    </x:row>
    <x:row r="804" customHeight="1">
      <x:c r="A804" s="389">
        <x:v>9503009000</x:v>
      </x:c>
      <x:c r="B804" s="389" t="s">
        <x:v>1317</x:v>
      </x:c>
      <x:c r="D804" s="390" t="s">
        <x:v>429</x:v>
      </x:c>
    </x:row>
    <x:row r="805" customHeight="1">
      <x:c r="A805" s="391">
        <x:v>8531200000</x:v>
      </x:c>
      <x:c r="B805" s="392" t="s">
        <x:v>1318</x:v>
      </x:c>
      <x:c r="C805" s="392"/>
      <x:c r="D805" s="393" t="s">
        <x:v>1319</x:v>
      </x:c>
    </x:row>
    <x:row r="806" customHeight="1">
      <x:c r="A806" s="389">
        <x:v>8422303090</x:v>
      </x:c>
      <x:c r="B806" s="389" t="s">
        <x:v>1320</x:v>
      </x:c>
      <x:c r="D806" s="390" t="s">
        <x:v>1321</x:v>
      </x:c>
    </x:row>
    <x:row r="807" customHeight="1">
      <x:c r="A807" s="389">
        <x:v>9503009000</x:v>
      </x:c>
      <x:c r="B807" s="389" t="s">
        <x:v>1322</x:v>
      </x:c>
      <x:c r="D807" s="390" t="s">
        <x:v>1323</x:v>
      </x:c>
    </x:row>
    <x:row r="808" customHeight="1">
      <x:c r="A808" s="389">
        <x:v>8480790000</x:v>
      </x:c>
      <x:c r="B808" s="389" t="s">
        <x:v>1324</x:v>
      </x:c>
    </x:row>
    <x:row r="809" customHeight="1">
      <x:c r="A809" s="389">
        <x:v>7326909000</x:v>
      </x:c>
      <x:c r="B809" s="389" t="s">
        <x:v>1325</x:v>
      </x:c>
      <x:c r="D809" s="390" t="s">
        <x:v>1326</x:v>
      </x:c>
    </x:row>
    <x:row r="810" customHeight="1">
      <x:c r="A810" s="389">
        <x:v>5806320000</x:v>
      </x:c>
      <x:c r="B810" s="389" t="s">
        <x:v>1327</x:v>
      </x:c>
      <x:c r="D810" s="390" t="s">
        <x:v>245</x:v>
      </x:c>
    </x:row>
    <x:row r="811" customHeight="1">
      <x:c r="A811" s="389">
        <x:v>5806320000</x:v>
      </x:c>
      <x:c r="B811" s="389" t="s">
        <x:v>1328</x:v>
      </x:c>
      <x:c r="D811" s="390" t="s">
        <x:v>245</x:v>
      </x:c>
    </x:row>
    <x:row r="812" customHeight="1">
      <x:c r="A812" s="389">
        <x:v>5806320000</x:v>
      </x:c>
      <x:c r="B812" s="389" t="s">
        <x:v>1329</x:v>
      </x:c>
      <x:c r="D812" s="390" t="s">
        <x:v>245</x:v>
      </x:c>
    </x:row>
    <x:row r="813" customHeight="1">
      <x:c r="A813" s="389">
        <x:v>5806320000</x:v>
      </x:c>
      <x:c r="B813" s="389" t="s">
        <x:v>1330</x:v>
      </x:c>
      <x:c r="D813" s="390" t="s">
        <x:v>245</x:v>
      </x:c>
    </x:row>
    <x:row r="814" customHeight="1">
      <x:c r="A814" s="389">
        <x:v>5806320000</x:v>
      </x:c>
      <x:c r="B814" s="389" t="s">
        <x:v>1331</x:v>
      </x:c>
      <x:c r="D814" s="390" t="s">
        <x:v>245</x:v>
      </x:c>
    </x:row>
    <x:row r="815" customHeight="1">
      <x:c r="A815" s="389">
        <x:v>3215902000</x:v>
      </x:c>
      <x:c r="B815" s="389" t="s">
        <x:v>1332</x:v>
      </x:c>
      <x:c r="D815" s="390" t="s">
        <x:v>1130</x:v>
      </x:c>
    </x:row>
    <x:row r="816" customHeight="1">
      <x:c r="A816" s="391">
        <x:v>3215902000</x:v>
      </x:c>
      <x:c r="B816" s="392" t="s">
        <x:v>1333</x:v>
      </x:c>
      <x:c r="C816" s="392"/>
      <x:c r="D816" s="396" t="s">
        <x:v>1130</x:v>
      </x:c>
    </x:row>
    <x:row r="817" customHeight="1">
      <x:c r="A817" s="391">
        <x:v>3215902000</x:v>
      </x:c>
      <x:c r="B817" s="392" t="s">
        <x:v>1334</x:v>
      </x:c>
      <x:c r="C817" s="392"/>
      <x:c r="D817" s="396" t="s">
        <x:v>1130</x:v>
      </x:c>
    </x:row>
    <x:row r="818" customHeight="1">
      <x:c r="A818" s="391">
        <x:v>3215902000</x:v>
      </x:c>
      <x:c r="B818" s="392" t="s">
        <x:v>1335</x:v>
      </x:c>
      <x:c r="C818" s="392"/>
      <x:c r="D818" s="396" t="s">
        <x:v>1130</x:v>
      </x:c>
    </x:row>
    <x:row r="819" customHeight="1">
      <x:c r="A819" s="391">
        <x:v>3215902000</x:v>
      </x:c>
      <x:c r="B819" s="392" t="s">
        <x:v>1336</x:v>
      </x:c>
      <x:c r="C819" s="392"/>
      <x:c r="D819" s="396" t="s">
        <x:v>1130</x:v>
      </x:c>
    </x:row>
    <x:row r="820" customHeight="1">
      <x:c r="A820" s="389">
        <x:v>3215902000</x:v>
      </x:c>
      <x:c r="B820" s="389" t="s">
        <x:v>1337</x:v>
      </x:c>
      <x:c r="D820" s="390" t="s">
        <x:v>1130</x:v>
      </x:c>
    </x:row>
    <x:row r="821" customHeight="1">
      <x:c r="A821" s="389">
        <x:v>3215902000</x:v>
      </x:c>
      <x:c r="B821" s="389" t="s">
        <x:v>1338</x:v>
      </x:c>
      <x:c r="D821" s="390" t="s">
        <x:v>1130</x:v>
      </x:c>
    </x:row>
    <x:row r="822" customHeight="1">
      <x:c r="A822" s="389">
        <x:v>3215902000</x:v>
      </x:c>
      <x:c r="B822" s="389" t="s">
        <x:v>1339</x:v>
      </x:c>
      <x:c r="D822" s="390" t="s">
        <x:v>1130</x:v>
      </x:c>
    </x:row>
    <x:row r="823" customHeight="1">
      <x:c r="A823" s="389">
        <x:v>3215902000</x:v>
      </x:c>
      <x:c r="B823" s="389" t="s">
        <x:v>1340</x:v>
      </x:c>
      <x:c r="D823" s="390" t="s">
        <x:v>1130</x:v>
      </x:c>
    </x:row>
    <x:row r="824" customHeight="1">
      <x:c r="A824" s="389">
        <x:v>7326909000</x:v>
      </x:c>
      <x:c r="B824" s="389" t="s">
        <x:v>1341</x:v>
      </x:c>
      <x:c r="D824" s="390" t="s">
        <x:v>405</x:v>
      </x:c>
    </x:row>
    <x:row r="825" customHeight="1">
      <x:c r="A825" s="389">
        <x:v>7326909000</x:v>
      </x:c>
      <x:c r="B825" s="389" t="s">
        <x:v>1342</x:v>
      </x:c>
      <x:c r="D825" s="390" t="s">
        <x:v>405</x:v>
      </x:c>
    </x:row>
    <x:row r="826" customHeight="1">
      <x:c r="A826" s="389">
        <x:v>7326909000</x:v>
      </x:c>
      <x:c r="B826" s="389" t="s">
        <x:v>1343</x:v>
      </x:c>
      <x:c r="D826" s="390" t="s">
        <x:v>405</x:v>
      </x:c>
    </x:row>
    <x:row r="827" customHeight="1">
      <x:c r="A827" s="389">
        <x:v>4821100000</x:v>
      </x:c>
      <x:c r="B827" s="389" t="s">
        <x:v>1344</x:v>
      </x:c>
      <x:c r="D827" s="390" t="s">
        <x:v>1345</x:v>
      </x:c>
    </x:row>
    <x:row r="828" customHeight="1">
      <x:c r="A828" s="389">
        <x:v>4823909000</x:v>
      </x:c>
      <x:c r="B828" s="406" t="s">
        <x:v>1346</x:v>
      </x:c>
      <x:c r="C828" s="406"/>
      <x:c r="D828" s="390" t="s">
        <x:v>1347</x:v>
      </x:c>
    </x:row>
    <x:row r="829" customHeight="1">
      <x:c r="A829" s="391">
        <x:v>4823909000</x:v>
      </x:c>
      <x:c r="B829" s="392" t="s">
        <x:v>1348</x:v>
      </x:c>
      <x:c r="C829" s="392"/>
      <x:c r="D829" s="394" t="s">
        <x:v>1349</x:v>
      </x:c>
    </x:row>
    <x:row r="830" customHeight="1">
      <x:c r="A830" s="391">
        <x:v>7326909000</x:v>
      </x:c>
      <x:c r="B830" s="392" t="s">
        <x:v>1350</x:v>
      </x:c>
      <x:c r="C830" s="392"/>
      <x:c r="D830" s="393" t="s">
        <x:v>405</x:v>
      </x:c>
    </x:row>
    <x:row r="831" customHeight="1">
      <x:c r="A831" s="391">
        <x:v>7326909000</x:v>
      </x:c>
      <x:c r="B831" s="392" t="s">
        <x:v>1351</x:v>
      </x:c>
      <x:c r="C831" s="392"/>
      <x:c r="D831" s="393" t="s">
        <x:v>405</x:v>
      </x:c>
    </x:row>
    <x:row r="832" customHeight="1">
      <x:c r="A832" s="391">
        <x:v>7326909000</x:v>
      </x:c>
      <x:c r="B832" s="392" t="s">
        <x:v>1352</x:v>
      </x:c>
      <x:c r="C832" s="392"/>
      <x:c r="D832" s="393" t="s">
        <x:v>405</x:v>
      </x:c>
    </x:row>
    <x:row r="833" customHeight="1">
      <x:c r="A833" s="391">
        <x:v>7326909000</x:v>
      </x:c>
      <x:c r="B833" s="392" t="s">
        <x:v>1353</x:v>
      </x:c>
      <x:c r="C833" s="392"/>
      <x:c r="D833" s="393" t="s">
        <x:v>405</x:v>
      </x:c>
    </x:row>
    <x:row r="834" customHeight="1">
      <x:c r="A834" s="389">
        <x:v>8480790000</x:v>
      </x:c>
      <x:c r="B834" s="389" t="s">
        <x:v>1354</x:v>
      </x:c>
      <x:c r="D834" s="390" t="s">
        <x:v>413</x:v>
      </x:c>
    </x:row>
    <x:row r="835" customHeight="1">
      <x:c r="A835" s="391">
        <x:v>7326909090</x:v>
      </x:c>
      <x:c r="B835" s="392" t="s">
        <x:v>1355</x:v>
      </x:c>
      <x:c r="C835" s="392"/>
      <x:c r="D835" s="395" t="s">
        <x:v>405</x:v>
      </x:c>
    </x:row>
    <x:row r="836" customHeight="1">
      <x:c r="A836" s="391">
        <x:v>8480790000</x:v>
      </x:c>
      <x:c r="B836" s="392" t="s">
        <x:v>1356</x:v>
      </x:c>
      <x:c r="C836" s="392"/>
      <x:c r="D836" s="395" t="s">
        <x:v>413</x:v>
      </x:c>
    </x:row>
    <x:row r="837" customHeight="1">
      <x:c r="A837" s="391">
        <x:v>7326909090</x:v>
      </x:c>
      <x:c r="B837" s="392" t="s">
        <x:v>1357</x:v>
      </x:c>
      <x:c r="C837" s="392"/>
      <x:c r="D837" s="395" t="s">
        <x:v>405</x:v>
      </x:c>
    </x:row>
    <x:row r="838" customHeight="1">
      <x:c r="A838" s="389">
        <x:v>7326909000</x:v>
      </x:c>
      <x:c r="B838" s="389" t="s">
        <x:v>1358</x:v>
      </x:c>
      <x:c r="D838" s="390" t="s">
        <x:v>405</x:v>
      </x:c>
    </x:row>
    <x:row r="839" customHeight="1">
      <x:c r="A839" s="389">
        <x:v>8480790000</x:v>
      </x:c>
      <x:c r="B839" s="389" t="s">
        <x:v>1359</x:v>
      </x:c>
      <x:c r="D839" s="390" t="s">
        <x:v>413</x:v>
      </x:c>
    </x:row>
    <x:row r="840" customHeight="1">
      <x:c r="A840" s="389">
        <x:v>8480790000</x:v>
      </x:c>
      <x:c r="B840" s="389" t="s">
        <x:v>1360</x:v>
      </x:c>
      <x:c r="D840" s="390" t="s">
        <x:v>413</x:v>
      </x:c>
    </x:row>
    <x:row r="841" customHeight="1">
      <x:c r="A841" s="389">
        <x:v>8480790000</x:v>
      </x:c>
      <x:c r="B841" s="389" t="s">
        <x:v>1361</x:v>
      </x:c>
      <x:c r="D841" s="390" t="s">
        <x:v>413</x:v>
      </x:c>
    </x:row>
    <x:row r="842" customHeight="1">
      <x:c r="A842" s="389">
        <x:v>7326909000</x:v>
      </x:c>
      <x:c r="B842" s="389" t="s">
        <x:v>1362</x:v>
      </x:c>
      <x:c r="D842" s="390" t="s">
        <x:v>405</x:v>
      </x:c>
    </x:row>
    <x:row r="843" customHeight="1">
      <x:c r="A843" s="389">
        <x:v>8203200090</x:v>
      </x:c>
      <x:c r="B843" s="389" t="s">
        <x:v>1363</x:v>
      </x:c>
      <x:c r="D843" s="390" t="s">
        <x:v>875</x:v>
      </x:c>
    </x:row>
    <x:row r="844" customHeight="1">
      <x:c r="A844" s="389">
        <x:v>4819100000</x:v>
      </x:c>
      <x:c r="B844" s="389" t="s">
        <x:v>1364</x:v>
      </x:c>
      <x:c r="D844" s="390" t="s">
        <x:v>503</x:v>
      </x:c>
    </x:row>
    <x:row r="845" customHeight="1">
      <x:c r="A845" s="389">
        <x:v>9503009000</x:v>
      </x:c>
      <x:c r="B845" s="389" t="s">
        <x:v>1365</x:v>
      </x:c>
      <x:c r="D845" s="390" t="s">
        <x:v>493</x:v>
      </x:c>
    </x:row>
    <x:row r="846" customHeight="1">
      <x:c r="A846" s="389">
        <x:v>9503009000</x:v>
      </x:c>
      <x:c r="B846" s="389" t="s">
        <x:v>1366</x:v>
      </x:c>
      <x:c r="D846" s="390" t="s">
        <x:v>493</x:v>
      </x:c>
    </x:row>
    <x:row r="847" customHeight="1">
      <x:c r="A847" s="389">
        <x:v>4821100000</x:v>
      </x:c>
      <x:c r="B847" s="389" t="s">
        <x:v>1367</x:v>
      </x:c>
      <x:c r="D847" s="390" t="s">
        <x:v>1368</x:v>
      </x:c>
    </x:row>
    <x:row r="848" customHeight="1">
      <x:c r="A848" s="389">
        <x:v>3926909090</x:v>
      </x:c>
      <x:c r="B848" s="389" t="s">
        <x:v>1369</x:v>
      </x:c>
      <x:c r="D848" s="390" t="s">
        <x:v>449</x:v>
      </x:c>
    </x:row>
    <x:row r="849" customHeight="1">
      <x:c r="A849" s="389">
        <x:v>8480790000</x:v>
      </x:c>
      <x:c r="B849" s="389" t="s">
        <x:v>1370</x:v>
      </x:c>
      <x:c r="D849" s="390" t="s">
        <x:v>413</x:v>
      </x:c>
    </x:row>
    <x:row r="850" customHeight="1">
      <x:c r="A850" s="389">
        <x:v>8480790000</x:v>
      </x:c>
      <x:c r="B850" s="389" t="s">
        <x:v>1371</x:v>
      </x:c>
      <x:c r="D850" s="390" t="s">
        <x:v>413</x:v>
      </x:c>
    </x:row>
    <x:row r="851" customHeight="1">
      <x:c r="A851" s="389">
        <x:v>7326909000</x:v>
      </x:c>
      <x:c r="B851" s="389" t="s">
        <x:v>1372</x:v>
      </x:c>
      <x:c r="D851" s="390" t="s">
        <x:v>405</x:v>
      </x:c>
    </x:row>
    <x:row r="852" customHeight="1">
      <x:c r="A852" s="389">
        <x:v>8480790000</x:v>
      </x:c>
      <x:c r="B852" s="389" t="s">
        <x:v>1373</x:v>
      </x:c>
      <x:c r="D852" s="390" t="s">
        <x:v>413</x:v>
      </x:c>
    </x:row>
    <x:row r="853" customHeight="1">
      <x:c r="A853" s="389">
        <x:v>8480790000</x:v>
      </x:c>
      <x:c r="B853" s="389" t="s">
        <x:v>1374</x:v>
      </x:c>
      <x:c r="D853" s="390" t="s">
        <x:v>413</x:v>
      </x:c>
    </x:row>
    <x:row r="854" customHeight="1">
      <x:c r="A854" s="389">
        <x:v>8480790000</x:v>
      </x:c>
      <x:c r="B854" s="389" t="s">
        <x:v>1375</x:v>
      </x:c>
      <x:c r="D854" s="390" t="s">
        <x:v>413</x:v>
      </x:c>
    </x:row>
    <x:row r="855" customHeight="1">
      <x:c r="A855" s="389">
        <x:v>7326909000</x:v>
      </x:c>
      <x:c r="B855" s="389" t="s">
        <x:v>1376</x:v>
      </x:c>
      <x:c r="D855" s="390" t="s">
        <x:v>405</x:v>
      </x:c>
    </x:row>
    <x:row r="856" customHeight="1">
      <x:c r="A856" s="389">
        <x:v>7326909000</x:v>
      </x:c>
      <x:c r="B856" s="389" t="s">
        <x:v>1377</x:v>
      </x:c>
      <x:c r="D856" s="390" t="s">
        <x:v>405</x:v>
      </x:c>
    </x:row>
    <x:row r="857" customHeight="1">
      <x:c r="A857" s="389">
        <x:v>7326909000</x:v>
      </x:c>
      <x:c r="B857" s="389" t="s">
        <x:v>1378</x:v>
      </x:c>
      <x:c r="D857" s="390" t="s">
        <x:v>405</x:v>
      </x:c>
    </x:row>
    <x:row r="858" customHeight="1">
      <x:c r="A858" s="389">
        <x:v>7326909000</x:v>
      </x:c>
      <x:c r="B858" s="389" t="s">
        <x:v>1379</x:v>
      </x:c>
      <x:c r="D858" s="390" t="s">
        <x:v>405</x:v>
      </x:c>
    </x:row>
    <x:row r="859" customHeight="1">
      <x:c r="A859" s="389">
        <x:v>8480790000</x:v>
      </x:c>
      <x:c r="B859" s="389" t="s">
        <x:v>1380</x:v>
      </x:c>
      <x:c r="D859" s="390" t="s">
        <x:v>413</x:v>
      </x:c>
    </x:row>
    <x:row r="860" customHeight="1">
      <x:c r="A860" s="389">
        <x:v>8480790000</x:v>
      </x:c>
      <x:c r="B860" s="389" t="s">
        <x:v>1381</x:v>
      </x:c>
      <x:c r="D860" s="390" t="s">
        <x:v>413</x:v>
      </x:c>
    </x:row>
    <x:row r="861" customHeight="1">
      <x:c r="A861" s="389">
        <x:v>7326909000</x:v>
      </x:c>
      <x:c r="B861" s="389" t="s">
        <x:v>1382</x:v>
      </x:c>
      <x:c r="D861" s="390" t="s">
        <x:v>405</x:v>
      </x:c>
    </x:row>
    <x:row r="862" customHeight="1">
      <x:c r="A862" s="389">
        <x:v>8480790000</x:v>
      </x:c>
      <x:c r="B862" s="389" t="s">
        <x:v>1383</x:v>
      </x:c>
      <x:c r="D862" s="390" t="s">
        <x:v>413</x:v>
      </x:c>
    </x:row>
    <x:row r="863" customHeight="1">
      <x:c r="A863" s="389">
        <x:v>8480790000</x:v>
      </x:c>
      <x:c r="B863" s="389" t="s">
        <x:v>1384</x:v>
      </x:c>
      <x:c r="D863" s="390" t="s">
        <x:v>413</x:v>
      </x:c>
    </x:row>
    <x:row r="864" customHeight="1">
      <x:c r="A864" s="389">
        <x:v>7326909000</x:v>
      </x:c>
      <x:c r="B864" s="389" t="s">
        <x:v>1385</x:v>
      </x:c>
      <x:c r="D864" s="390" t="s">
        <x:v>405</x:v>
      </x:c>
    </x:row>
    <x:row r="865" customHeight="1">
      <x:c r="A865" s="389">
        <x:v>7326909000</x:v>
      </x:c>
      <x:c r="B865" s="389" t="s">
        <x:v>1386</x:v>
      </x:c>
      <x:c r="D865" s="390" t="s">
        <x:v>405</x:v>
      </x:c>
    </x:row>
    <x:row r="866" customHeight="1">
      <x:c r="A866" s="389">
        <x:v>7326909000</x:v>
      </x:c>
      <x:c r="B866" s="389" t="s">
        <x:v>1387</x:v>
      </x:c>
      <x:c r="D866" s="390" t="s">
        <x:v>405</x:v>
      </x:c>
    </x:row>
    <x:row r="867" customHeight="1">
      <x:c r="A867" s="389">
        <x:v>8480790000</x:v>
      </x:c>
      <x:c r="B867" s="389" t="s">
        <x:v>1388</x:v>
      </x:c>
      <x:c r="D867" s="390" t="s">
        <x:v>413</x:v>
      </x:c>
    </x:row>
    <x:row r="868" customHeight="1">
      <x:c r="A868" s="389">
        <x:v>7326909000</x:v>
      </x:c>
      <x:c r="B868" s="389" t="s">
        <x:v>1389</x:v>
      </x:c>
      <x:c r="D868" s="390" t="s">
        <x:v>405</x:v>
      </x:c>
    </x:row>
    <x:row r="869" customHeight="1">
      <x:c r="A869" s="391">
        <x:v>3923900000</x:v>
      </x:c>
      <x:c r="B869" s="392" t="s">
        <x:v>1390</x:v>
      </x:c>
      <x:c r="C869" s="392"/>
      <x:c r="D869" s="394" t="s">
        <x:v>290</x:v>
      </x:c>
    </x:row>
    <x:row r="870" customHeight="1">
      <x:c r="A870" s="389">
        <x:v>8480790000</x:v>
      </x:c>
      <x:c r="B870" s="389" t="s">
        <x:v>1391</x:v>
      </x:c>
      <x:c r="D870" s="390" t="s">
        <x:v>413</x:v>
      </x:c>
    </x:row>
    <x:row r="871" customHeight="1">
      <x:c r="A871" s="389">
        <x:v>7326909000</x:v>
      </x:c>
      <x:c r="B871" s="389" t="s">
        <x:v>1392</x:v>
      </x:c>
      <x:c r="D871" s="390" t="s">
        <x:v>405</x:v>
      </x:c>
    </x:row>
    <x:row r="872" customHeight="1">
      <x:c r="A872" s="389">
        <x:v>8480790000</x:v>
      </x:c>
      <x:c r="B872" s="389" t="s">
        <x:v>1393</x:v>
      </x:c>
      <x:c r="D872" s="390" t="s">
        <x:v>413</x:v>
      </x:c>
    </x:row>
    <x:row r="873" customHeight="1">
      <x:c r="A873" s="389">
        <x:v>8480790000</x:v>
      </x:c>
      <x:c r="B873" s="389" t="s">
        <x:v>1394</x:v>
      </x:c>
      <x:c r="D873" s="390" t="s">
        <x:v>413</x:v>
      </x:c>
    </x:row>
    <x:row r="874" customHeight="1">
      <x:c r="A874" s="389">
        <x:v>3926909090</x:v>
      </x:c>
      <x:c r="B874" s="389" t="s">
        <x:v>1395</x:v>
      </x:c>
      <x:c r="D874" s="390" t="s">
        <x:v>290</x:v>
      </x:c>
    </x:row>
    <x:row r="875" customHeight="1">
      <x:c r="A875" s="389">
        <x:v>3921199090</x:v>
      </x:c>
      <x:c r="B875" s="389" t="s">
        <x:v>1396</x:v>
      </x:c>
      <x:c r="D875" s="390" t="s">
        <x:v>1397</x:v>
      </x:c>
    </x:row>
    <x:row r="876" customHeight="1">
      <x:c r="A876" s="391">
        <x:v>8479909090</x:v>
      </x:c>
      <x:c r="B876" s="392" t="s">
        <x:v>1398</x:v>
      </x:c>
      <x:c r="C876" s="392"/>
      <x:c r="D876" s="393" t="s">
        <x:v>776</x:v>
      </x:c>
    </x:row>
    <x:row r="877" customHeight="1">
      <x:c r="A877" s="389">
        <x:v>4819200000</x:v>
      </x:c>
      <x:c r="B877" s="389" t="s">
        <x:v>1399</x:v>
      </x:c>
      <x:c r="D877" s="390" t="s">
        <x:v>503</x:v>
      </x:c>
    </x:row>
    <x:row r="878" customHeight="1">
      <x:c r="A878" s="389">
        <x:v>8205590000</x:v>
      </x:c>
      <x:c r="B878" s="389" t="s">
        <x:v>1400</x:v>
      </x:c>
      <x:c r="D878" s="390" t="s">
        <x:v>1401</x:v>
      </x:c>
    </x:row>
    <x:row r="879" customHeight="1">
      <x:c r="A879" s="389">
        <x:v>4821100000</x:v>
      </x:c>
      <x:c r="B879" s="389" t="s">
        <x:v>1402</x:v>
      </x:c>
      <x:c r="D879" s="390" t="s">
        <x:v>266</x:v>
      </x:c>
    </x:row>
    <x:row r="880" customHeight="1">
      <x:c r="A880" s="389">
        <x:v>4823909000</x:v>
      </x:c>
      <x:c r="B880" s="389" t="s">
        <x:v>1403</x:v>
      </x:c>
      <x:c r="D880" s="390" t="s">
        <x:v>1404</x:v>
      </x:c>
    </x:row>
    <x:row r="881" customHeight="1">
      <x:c r="A881" s="389">
        <x:v>4823909000</x:v>
      </x:c>
      <x:c r="B881" s="389" t="s">
        <x:v>1405</x:v>
      </x:c>
      <x:c r="D881" s="390" t="s">
        <x:v>1406</x:v>
      </x:c>
    </x:row>
    <x:row r="882" customHeight="1">
      <x:c r="A882" s="391">
        <x:v>4823909000</x:v>
      </x:c>
      <x:c r="B882" s="392" t="s">
        <x:v>1407</x:v>
      </x:c>
      <x:c r="C882" s="392"/>
      <x:c r="D882" s="394" t="s">
        <x:v>1408</x:v>
      </x:c>
    </x:row>
    <x:row r="883" customHeight="1">
      <x:c r="A883" s="389">
        <x:v>4823909000</x:v>
      </x:c>
      <x:c r="B883" s="389" t="s">
        <x:v>1409</x:v>
      </x:c>
      <x:c r="D883" s="390" t="s">
        <x:v>1410</x:v>
      </x:c>
    </x:row>
    <x:row r="884" customHeight="1">
      <x:c r="A884" s="389">
        <x:v>4823909000</x:v>
      </x:c>
      <x:c r="B884" s="389" t="s">
        <x:v>1411</x:v>
      </x:c>
      <x:c r="D884" s="390" t="s">
        <x:v>1412</x:v>
      </x:c>
    </x:row>
    <x:row r="885" customHeight="1">
      <x:c r="A885" s="389">
        <x:v>4823909000</x:v>
      </x:c>
      <x:c r="B885" s="389" t="s">
        <x:v>1413</x:v>
      </x:c>
      <x:c r="D885" s="390" t="s">
        <x:v>1414</x:v>
      </x:c>
    </x:row>
    <x:row r="886" customHeight="1">
      <x:c r="A886" s="391">
        <x:v>4823909000</x:v>
      </x:c>
      <x:c r="B886" s="392" t="s">
        <x:v>1415</x:v>
      </x:c>
      <x:c r="C886" s="392"/>
      <x:c r="D886" s="394" t="s">
        <x:v>1416</x:v>
      </x:c>
    </x:row>
    <x:row r="887" customHeight="1">
      <x:c r="A887" s="389">
        <x:v>4819100000</x:v>
      </x:c>
      <x:c r="B887" s="389" t="s">
        <x:v>1417</x:v>
      </x:c>
      <x:c r="D887" s="390" t="s">
        <x:v>266</x:v>
      </x:c>
    </x:row>
    <x:row r="888" customHeight="1">
      <x:c r="A888" s="389">
        <x:v>4821100000</x:v>
      </x:c>
      <x:c r="B888" s="389" t="s">
        <x:v>1418</x:v>
      </x:c>
      <x:c r="D888" s="390" t="s">
        <x:v>1419</x:v>
      </x:c>
    </x:row>
    <x:row r="889" customHeight="1">
      <x:c r="A889" s="389">
        <x:v>8480790000</x:v>
      </x:c>
      <x:c r="B889" s="389" t="s">
        <x:v>1420</x:v>
      </x:c>
      <x:c r="D889" s="390" t="s">
        <x:v>413</x:v>
      </x:c>
    </x:row>
    <x:row r="890" customHeight="1">
      <x:c r="A890" s="389">
        <x:v>8480790000</x:v>
      </x:c>
      <x:c r="B890" s="389" t="s">
        <x:v>1421</x:v>
      </x:c>
      <x:c r="D890" s="390" t="s">
        <x:v>413</x:v>
      </x:c>
    </x:row>
    <x:row r="891" customHeight="1">
      <x:c r="A891" s="391">
        <x:v>4819200000</x:v>
      </x:c>
      <x:c r="B891" s="392" t="s">
        <x:v>1422</x:v>
      </x:c>
      <x:c r="C891" s="392"/>
      <x:c r="D891" s="393" t="s">
        <x:v>266</x:v>
      </x:c>
    </x:row>
    <x:row r="892" customHeight="1">
      <x:c r="A892" s="389">
        <x:v>8471605000</x:v>
      </x:c>
      <x:c r="B892" s="389" t="s">
        <x:v>1423</x:v>
      </x:c>
      <x:c r="D892" s="390" t="s">
        <x:v>1424</x:v>
      </x:c>
    </x:row>
    <x:row r="893" customHeight="1">
      <x:c r="A893" s="389">
        <x:v>3923900000</x:v>
      </x:c>
      <x:c r="B893" s="389" t="s">
        <x:v>1425</x:v>
      </x:c>
      <x:c r="D893" s="390" t="s">
        <x:v>385</x:v>
      </x:c>
    </x:row>
    <x:row r="894" customHeight="1">
      <x:c r="A894" s="391">
        <x:v>8480719090</x:v>
      </x:c>
      <x:c r="B894" s="392" t="s">
        <x:v>1426</x:v>
      </x:c>
      <x:c r="C894" s="392"/>
      <x:c r="D894" s="393" t="s">
        <x:v>1427</x:v>
      </x:c>
    </x:row>
    <x:row r="895" customHeight="1">
      <x:c r="A895" s="391">
        <x:v>8477900000</x:v>
      </x:c>
      <x:c r="B895" s="392" t="s">
        <x:v>1428</x:v>
      </x:c>
      <x:c r="C895" s="392"/>
      <x:c r="D895" s="394" t="s">
        <x:v>1429</x:v>
      </x:c>
    </x:row>
    <x:row r="896" customHeight="1">
      <x:c r="A896" s="389">
        <x:v>8516800000</x:v>
      </x:c>
      <x:c r="B896" s="389" t="s">
        <x:v>1430</x:v>
      </x:c>
      <x:c r="D896" s="390" t="s">
        <x:v>556</x:v>
      </x:c>
    </x:row>
    <x:row r="897" customHeight="1">
      <x:c r="A897" s="391">
        <x:v>4908900000</x:v>
      </x:c>
      <x:c r="B897" s="392" t="s">
        <x:v>1431</x:v>
      </x:c>
      <x:c r="C897" s="392"/>
      <x:c r="D897" s="394" t="s">
        <x:v>1128</x:v>
      </x:c>
    </x:row>
    <x:row r="898" customHeight="1">
      <x:c r="A898" s="391">
        <x:v>4908900000</x:v>
      </x:c>
      <x:c r="B898" s="392" t="s">
        <x:v>1432</x:v>
      </x:c>
      <x:c r="C898" s="392"/>
      <x:c r="D898" s="394" t="s">
        <x:v>1128</x:v>
      </x:c>
    </x:row>
    <x:row r="899" customHeight="1">
      <x:c r="A899" s="391">
        <x:v>4908900000</x:v>
      </x:c>
      <x:c r="B899" s="392" t="s">
        <x:v>1433</x:v>
      </x:c>
      <x:c r="C899" s="392"/>
      <x:c r="D899" s="393" t="s">
        <x:v>1128</x:v>
      </x:c>
    </x:row>
    <x:row r="900" customHeight="1">
      <x:c r="A900" s="391">
        <x:v>7326909090</x:v>
      </x:c>
      <x:c r="B900" s="392" t="s">
        <x:v>1434</x:v>
      </x:c>
      <x:c r="C900" s="392"/>
      <x:c r="D900" s="395" t="s">
        <x:v>405</x:v>
      </x:c>
    </x:row>
    <x:row r="901" customHeight="1">
      <x:c r="A901" s="389">
        <x:v>9503009000</x:v>
      </x:c>
      <x:c r="B901" s="389" t="s">
        <x:v>1435</x:v>
      </x:c>
      <x:c r="D901" s="390" t="s">
        <x:v>493</x:v>
      </x:c>
    </x:row>
    <x:row r="902" customHeight="1">
      <x:c r="A902" s="389">
        <x:v>8480790000</x:v>
      </x:c>
      <x:c r="B902" s="389" t="s">
        <x:v>1436</x:v>
      </x:c>
      <x:c r="D902" s="390" t="s">
        <x:v>413</x:v>
      </x:c>
    </x:row>
    <x:row r="903" customHeight="1">
      <x:c r="A903" s="389">
        <x:v>732690900</x:v>
      </x:c>
      <x:c r="B903" s="389" t="s">
        <x:v>1437</x:v>
      </x:c>
      <x:c r="D903" s="390" t="s">
        <x:v>426</x:v>
      </x:c>
    </x:row>
    <x:row r="904" customHeight="1">
      <x:c r="A904" s="389">
        <x:v>732690900</x:v>
      </x:c>
      <x:c r="B904" s="389" t="s">
        <x:v>1438</x:v>
      </x:c>
      <x:c r="D904" s="390" t="s">
        <x:v>426</x:v>
      </x:c>
    </x:row>
    <x:row r="905" customHeight="1">
      <x:c r="A905" s="389">
        <x:v>9503009000</x:v>
      </x:c>
      <x:c r="B905" s="389" t="s">
        <x:v>1439</x:v>
      </x:c>
      <x:c r="D905" s="390" t="s">
        <x:v>493</x:v>
      </x:c>
    </x:row>
    <x:row r="906" customHeight="1">
      <x:c r="A906" s="389">
        <x:v>9503009000</x:v>
      </x:c>
      <x:c r="B906" s="389" t="s">
        <x:v>1440</x:v>
      </x:c>
      <x:c r="D906" s="390" t="s">
        <x:v>493</x:v>
      </x:c>
    </x:row>
    <x:row r="907" customHeight="1">
      <x:c r="A907" s="389">
        <x:v>9503009000</x:v>
      </x:c>
      <x:c r="B907" s="389" t="s">
        <x:v>1441</x:v>
      </x:c>
      <x:c r="D907" s="390" t="s">
        <x:v>493</x:v>
      </x:c>
    </x:row>
    <x:row r="908" customHeight="1">
      <x:c r="A908" s="389">
        <x:v>9503009000</x:v>
      </x:c>
      <x:c r="B908" s="389" t="s">
        <x:v>1442</x:v>
      </x:c>
      <x:c r="D908" s="390" t="s">
        <x:v>493</x:v>
      </x:c>
    </x:row>
    <x:row r="909" customHeight="1">
      <x:c r="A909" s="389">
        <x:v>9503009000</x:v>
      </x:c>
      <x:c r="B909" s="389" t="s">
        <x:v>1443</x:v>
      </x:c>
      <x:c r="D909" s="390" t="s">
        <x:v>493</x:v>
      </x:c>
    </x:row>
    <x:row r="910" customHeight="1">
      <x:c r="A910" s="389">
        <x:v>8480790000</x:v>
      </x:c>
      <x:c r="B910" s="389" t="s">
        <x:v>1444</x:v>
      </x:c>
      <x:c r="D910" s="390" t="s">
        <x:v>413</x:v>
      </x:c>
    </x:row>
    <x:row r="911" customHeight="1">
      <x:c r="A911" s="389">
        <x:v>9503009000</x:v>
      </x:c>
      <x:c r="B911" s="389" t="s">
        <x:v>1445</x:v>
      </x:c>
      <x:c r="D911" s="390" t="s">
        <x:v>493</x:v>
      </x:c>
    </x:row>
    <x:row r="912" customHeight="1">
      <x:c r="A912" s="389">
        <x:v>732690900</x:v>
      </x:c>
      <x:c r="B912" s="389" t="s">
        <x:v>1446</x:v>
      </x:c>
      <x:c r="D912" s="390" t="s">
        <x:v>426</x:v>
      </x:c>
    </x:row>
    <x:row r="913" customHeight="1">
      <x:c r="A913" s="389">
        <x:v>8443999090</x:v>
      </x:c>
      <x:c r="B913" s="389" t="s">
        <x:v>1447</x:v>
      </x:c>
      <x:c r="D913" s="390" t="s">
        <x:v>284</x:v>
      </x:c>
    </x:row>
    <x:row r="914" customHeight="1">
      <x:c r="A914" s="389">
        <x:v>3926909090</x:v>
      </x:c>
      <x:c r="B914" s="389" t="s">
        <x:v>1448</x:v>
      </x:c>
      <x:c r="D914" s="390" t="s">
        <x:v>290</x:v>
      </x:c>
    </x:row>
    <x:row r="915" customHeight="1">
      <x:c r="A915" s="389">
        <x:v>3926909090</x:v>
      </x:c>
      <x:c r="B915" s="389" t="s">
        <x:v>1449</x:v>
      </x:c>
      <x:c r="D915" s="390" t="s">
        <x:v>1450</x:v>
      </x:c>
    </x:row>
    <x:row r="916" customHeight="1">
      <x:c r="A916" s="389">
        <x:v>8205590000</x:v>
      </x:c>
      <x:c r="B916" s="389" t="s">
        <x:v>1451</x:v>
      </x:c>
      <x:c r="D916" s="390" t="s">
        <x:v>1452</x:v>
      </x:c>
    </x:row>
    <x:row r="917" customHeight="1">
      <x:c r="A917" s="389">
        <x:v>8467190000</x:v>
      </x:c>
      <x:c r="B917" s="389" t="s">
        <x:v>1453</x:v>
      </x:c>
      <x:c r="D917" s="390" t="s">
        <x:v>1454</x:v>
      </x:c>
    </x:row>
    <x:row r="918" customHeight="1">
      <x:c r="A918" s="389">
        <x:v>9504909000</x:v>
      </x:c>
      <x:c r="B918" s="389" t="s">
        <x:v>1455</x:v>
      </x:c>
      <x:c r="D918" s="390" t="s">
        <x:v>1456</x:v>
      </x:c>
    </x:row>
    <x:row r="919" customHeight="1">
      <x:c r="A919" s="389">
        <x:v>8472909000</x:v>
      </x:c>
      <x:c r="B919" s="389" t="s">
        <x:v>1457</x:v>
      </x:c>
      <x:c r="D919" s="390" t="s">
        <x:v>1458</x:v>
      </x:c>
    </x:row>
    <x:row r="920" customHeight="1">
      <x:c r="A920" s="391">
        <x:v>8205100000</x:v>
      </x:c>
      <x:c r="B920" s="392" t="s">
        <x:v>1459</x:v>
      </x:c>
      <x:c r="C920" s="392"/>
      <x:c r="D920" s="393" t="s">
        <x:v>1460</x:v>
      </x:c>
    </x:row>
    <x:row r="921" customHeight="1">
      <x:c r="A921" s="389">
        <x:v>8480790000</x:v>
      </x:c>
      <x:c r="B921" s="389" t="s">
        <x:v>1461</x:v>
      </x:c>
      <x:c r="D921" s="390" t="s">
        <x:v>413</x:v>
      </x:c>
    </x:row>
    <x:row r="922" customHeight="1">
      <x:c r="A922" s="389">
        <x:v>8480790000</x:v>
      </x:c>
      <x:c r="B922" s="389" t="s">
        <x:v>1462</x:v>
      </x:c>
      <x:c r="D922" s="390" t="s">
        <x:v>413</x:v>
      </x:c>
    </x:row>
    <x:row r="923" customHeight="1">
      <x:c r="A923" s="391">
        <x:v>7326909090</x:v>
      </x:c>
      <x:c r="B923" s="392" t="s">
        <x:v>1463</x:v>
      </x:c>
      <x:c r="C923" s="392"/>
      <x:c r="D923" s="395" t="s">
        <x:v>405</x:v>
      </x:c>
    </x:row>
    <x:row r="924" customHeight="1">
      <x:c r="A924" s="391">
        <x:v>8480790000</x:v>
      </x:c>
      <x:c r="B924" s="392" t="s">
        <x:v>1464</x:v>
      </x:c>
      <x:c r="C924" s="392"/>
      <x:c r="D924" s="395" t="s">
        <x:v>413</x:v>
      </x:c>
    </x:row>
    <x:row r="925" customHeight="1">
      <x:c r="A925" s="389">
        <x:v>8480790000</x:v>
      </x:c>
      <x:c r="B925" s="389" t="s">
        <x:v>1465</x:v>
      </x:c>
      <x:c r="D925" s="390" t="s">
        <x:v>413</x:v>
      </x:c>
    </x:row>
    <x:row r="926" customHeight="1">
      <x:c r="A926" s="389">
        <x:v>8480790000</x:v>
      </x:c>
      <x:c r="B926" s="389" t="s">
        <x:v>1466</x:v>
      </x:c>
      <x:c r="D926" s="390" t="s">
        <x:v>413</x:v>
      </x:c>
    </x:row>
    <x:row r="927" customHeight="1">
      <x:c r="A927" s="389">
        <x:v>8480790000</x:v>
      </x:c>
      <x:c r="B927" s="389" t="s">
        <x:v>1467</x:v>
      </x:c>
      <x:c r="D927" s="390" t="s">
        <x:v>413</x:v>
      </x:c>
    </x:row>
    <x:row r="928" customHeight="1">
      <x:c r="A928" s="391">
        <x:v>7326909090</x:v>
      </x:c>
      <x:c r="B928" s="392" t="s">
        <x:v>1468</x:v>
      </x:c>
      <x:c r="C928" s="392"/>
      <x:c r="D928" s="395" t="s">
        <x:v>405</x:v>
      </x:c>
    </x:row>
    <x:row r="929" customHeight="1">
      <x:c r="A929" s="389">
        <x:v>7326909000</x:v>
      </x:c>
      <x:c r="B929" s="389" t="s">
        <x:v>1469</x:v>
      </x:c>
      <x:c r="D929" s="390" t="s">
        <x:v>405</x:v>
      </x:c>
    </x:row>
    <x:row r="930" customHeight="1">
      <x:c r="A930" s="389">
        <x:v>8480790000</x:v>
      </x:c>
      <x:c r="B930" s="389" t="s">
        <x:v>1470</x:v>
      </x:c>
      <x:c r="D930" s="390" t="s">
        <x:v>413</x:v>
      </x:c>
    </x:row>
    <x:row r="931" customHeight="1">
      <x:c r="A931" s="389">
        <x:v>8480790000</x:v>
      </x:c>
      <x:c r="B931" s="389" t="s">
        <x:v>1471</x:v>
      </x:c>
      <x:c r="D931" s="390" t="s">
        <x:v>413</x:v>
      </x:c>
    </x:row>
    <x:row r="932" customHeight="1">
      <x:c r="A932" s="389">
        <x:v>7326909000</x:v>
      </x:c>
      <x:c r="B932" s="389" t="s">
        <x:v>1472</x:v>
      </x:c>
      <x:c r="D932" s="390" t="s">
        <x:v>405</x:v>
      </x:c>
    </x:row>
    <x:row r="933" customHeight="1">
      <x:c r="A933" s="389">
        <x:v>8480790000</x:v>
      </x:c>
      <x:c r="B933" s="389" t="s">
        <x:v>1473</x:v>
      </x:c>
      <x:c r="D933" s="390" t="s">
        <x:v>413</x:v>
      </x:c>
    </x:row>
    <x:row r="934" customHeight="1">
      <x:c r="A934" s="389">
        <x:v>8480790000</x:v>
      </x:c>
      <x:c r="B934" s="389" t="s">
        <x:v>1474</x:v>
      </x:c>
      <x:c r="D934" s="390" t="s">
        <x:v>413</x:v>
      </x:c>
    </x:row>
    <x:row r="935" customHeight="1">
      <x:c r="A935" s="389">
        <x:v>8480790000</x:v>
      </x:c>
      <x:c r="B935" s="389" t="s">
        <x:v>1475</x:v>
      </x:c>
      <x:c r="D935" s="390" t="s">
        <x:v>413</x:v>
      </x:c>
    </x:row>
    <x:row r="936" customHeight="1">
      <x:c r="A936" s="389">
        <x:v>8480790000</x:v>
      </x:c>
      <x:c r="B936" s="389" t="s">
        <x:v>1476</x:v>
      </x:c>
      <x:c r="D936" s="390" t="s">
        <x:v>413</x:v>
      </x:c>
    </x:row>
    <x:row r="937" customHeight="1">
      <x:c r="A937" s="389">
        <x:v>7326909000</x:v>
      </x:c>
      <x:c r="B937" s="389" t="s">
        <x:v>1477</x:v>
      </x:c>
      <x:c r="D937" s="390" t="s">
        <x:v>564</x:v>
      </x:c>
    </x:row>
  </x:sheetData>
  <x:conditionalFormatting sqref="B436:B461">
    <x:cfRule type="duplicateValues" dxfId="1" priority="1"/>
  </x:conditionalFormatting>
  <x:conditionalFormatting sqref="B1:C435 C436:C461 B462:C1048576">
    <x:cfRule type="duplicateValues" dxfId="1" priority="2"/>
  </x:conditionalFormatting>
  <x:pageMargins left="0.7" right="0.7" top="0.75" bottom="0.75" header="0.3" footer="0.3"/>
  <x:drawing xmlns:r="http://schemas.openxmlformats.org/officeDocument/2006/relationships" r:id="R8a05c830b966423b"/>
</x:worksheet>
</file>

<file path=xl/worksheets/sheet9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ColWidth="9.816666603088379" defaultRowHeight="16.5"/>
  <x:cols>
    <x:col min="1" max="1" width="5.25" style="336" customWidth="1"/>
    <x:col min="2" max="2" width="9.083333015441895" style="336" customWidth="1"/>
    <x:col min="3" max="3" width="15.550000190734863" style="339" customWidth="1"/>
    <x:col min="4" max="4" width="32.59166717529297" style="336" customWidth="1"/>
    <x:col min="5" max="5" width="38.59166717529297" style="340" customWidth="1"/>
    <x:col min="6" max="6" width="14.733333587646484" style="341" customWidth="1"/>
    <x:col min="7" max="7" width="9.816666603088379" style="341" customWidth="1"/>
    <x:col min="8" max="8" width="18.899999618530273" style="341" customWidth="1"/>
    <x:col min="9" max="9" width="20.25" style="341" customWidth="1"/>
    <x:col min="10" max="10" width="14.016666412353516" style="342" customWidth="1"/>
    <x:col min="11" max="12" width="14.016666412353516" style="341" customWidth="1"/>
    <x:col min="13" max="13" width="14.016666412353516" style="343" customWidth="1"/>
    <x:col min="14" max="15" width="14.016666412353516" style="341" customWidth="1"/>
    <x:col min="16" max="17" width="11.858333587646484" style="336" customWidth="1"/>
    <x:col min="18" max="16381" width="9.816666603088379" style="336" customWidth="1"/>
    <x:col min="16382" max="16384" width="9.816666603088379" style="336" customWidth="0"/>
  </x:cols>
  <x:sheetData>
    <x:row r="1" s="336" customFormat="1" ht="27.75" customHeight="1">
      <x:c r="B1" s="336" t="s">
        <x:v>84</x:v>
      </x:c>
      <x:c r="E1" s="338"/>
      <x:c r="F1" s="341"/>
      <x:c r="G1" s="341"/>
      <x:c r="H1" s="341"/>
      <x:c r="I1" s="341"/>
      <x:c r="J1" s="343"/>
      <x:c r="K1" s="342"/>
      <x:c r="L1" s="341"/>
      <x:c r="M1" s="343"/>
      <x:c r="N1" s="341"/>
      <x:c r="O1" s="341"/>
    </x:row>
    <x:row r="2" s="336" customFormat="1" ht="14.25">
      <x:c r="B2" s="336" t="s">
        <x:v>1478</x:v>
      </x:c>
      <x:c r="E2" s="338"/>
      <x:c r="F2" s="341"/>
      <x:c r="G2" s="341"/>
      <x:c r="H2" s="341"/>
      <x:c r="I2" s="341"/>
      <x:c r="J2" s="343"/>
      <x:c r="K2" s="342"/>
      <x:c r="L2" s="341"/>
      <x:c r="M2" s="343"/>
      <x:c r="N2" s="341"/>
      <x:c r="O2" s="341"/>
    </x:row>
    <x:row r="3" ht="22.5" customHeight="1">
      <x:c r="B3" s="336" t="s">
        <x:v>1479</x:v>
      </x:c>
      <x:c r="C3" s="336"/>
      <x:c r="E3" s="336"/>
      <x:c r="F3" s="343"/>
      <x:c r="G3" s="343"/>
      <x:c r="H3" s="343"/>
      <x:c r="I3" s="341" t="n">
        <x:f>80-33</x:f>
        <x:v>47</x:v>
      </x:c>
      <x:c r="J3" s="344" t="e">
        <x:f>司机资料!A1&amp;司机资料!B1</x:f>
        <x:v>#NAME?</x:v>
      </x:c>
      <x:c r="K3" s="345"/>
      <x:c r="M3" s="344" t="e">
        <x:f>司机资料!E1&amp;司机资料!F1</x:f>
        <x:v>#NAME?</x:v>
      </x:c>
    </x:row>
    <x:row r="4" ht="14.25">
      <x:c r="J4" s="341"/>
      <x:c r="K4" s="342"/>
    </x:row>
    <x:row r="5" s="336" customFormat="1" ht="14.25">
      <x:c r="B5" s="336" t="s">
        <x:v>1480</x:v>
      </x:c>
      <x:c r="C5" s="339"/>
      <x:c r="D5" s="343"/>
      <x:c r="E5" s="340" t="e">
        <x:f>司机资料!B2</x:f>
        <x:v>#NAME?</x:v>
      </x:c>
      <x:c r="F5" s="341"/>
      <x:c r="G5" s="341" t="s">
        <x:v>1481</x:v>
      </x:c>
      <x:c r="H5" s="346">
        <x:v>45619</x:v>
      </x:c>
      <x:c r="I5" s="346"/>
      <x:c r="J5" s="342" t="s">
        <x:v>1482</x:v>
      </x:c>
      <x:c r="K5" s="341"/>
      <x:c r="L5" s="341"/>
      <x:c r="M5" s="343"/>
      <x:c r="N5" s="341"/>
      <x:c r="O5" s="341"/>
    </x:row>
    <x:row r="6" s="336" customFormat="1" ht="14.25">
      <x:c r="C6" s="339"/>
      <x:c r="E6" s="340"/>
      <x:c r="F6" s="341"/>
      <x:c r="G6" s="341"/>
      <x:c r="H6" s="341"/>
      <x:c r="I6" s="341"/>
      <x:c r="J6" s="342"/>
      <x:c r="K6" s="341"/>
      <x:c r="L6" s="341"/>
      <x:c r="M6" s="343"/>
      <x:c r="N6" s="341"/>
      <x:c r="O6" s="341"/>
    </x:row>
    <x:row r="7" s="336" customFormat="1" ht="14.25">
      <x:c r="B7" s="347" t="s">
        <x:v>1483</x:v>
      </x:c>
      <x:c r="C7" s="348" t="s">
        <x:v>225</x:v>
      </x:c>
      <x:c r="D7" s="349" t="s">
        <x:v>226</x:v>
      </x:c>
      <x:c r="E7" s="350" t="s">
        <x:v>227</x:v>
      </x:c>
      <x:c r="F7" s="351" t="s">
        <x:v>1484</x:v>
      </x:c>
      <x:c r="G7" s="352" t="s">
        <x:v>1485</x:v>
      </x:c>
      <x:c r="H7" s="352" t="s">
        <x:v>1486</x:v>
      </x:c>
      <x:c r="I7" s="352" t="s">
        <x:v>1487</x:v>
      </x:c>
      <x:c r="J7" s="353"/>
      <x:c r="K7" s="351"/>
      <x:c r="L7" s="351"/>
      <x:c r="M7" s="354"/>
      <x:c r="N7" s="341"/>
      <x:c r="O7" s="341"/>
    </x:row>
    <x:row r="8" s="336" customFormat="1" ht="32.25" customHeight="1">
      <x:c r="B8" s="355"/>
      <x:c r="C8" s="356"/>
      <x:c r="D8" s="356"/>
      <x:c r="E8" s="357"/>
      <x:c r="F8" s="358"/>
      <x:c r="G8" s="358"/>
      <x:c r="H8" s="358"/>
      <x:c r="I8" s="358"/>
      <x:c r="J8" s="353" t="s">
        <x:v>1488</x:v>
      </x:c>
      <x:c r="K8" s="351" t="s">
        <x:v>1489</x:v>
      </x:c>
      <x:c r="L8" s="351" t="s">
        <x:v>1490</x:v>
      </x:c>
      <x:c r="M8" s="354" t="s">
        <x:v>1491</x:v>
      </x:c>
      <x:c r="N8" s="341"/>
      <x:c r="O8" s="341"/>
    </x:row>
    <x:row r="9" s="337" customFormat="1" ht="40" customHeight="1">
      <x:c r="B9" s="359">
        <x:v>1</x:v>
      </x:c>
      <x:c r="C9" s="360" t="e">
        <x:f>_xlfn.XLOOKUP(D9,商品汇总表!$B:$B,商品汇总表!$A:$A,"")</x:f>
        <x:v>#NAME?</x:v>
      </x:c>
      <x:c r="D9" s="361" t="e" cm="1">
        <x:f t="array" ref="D9">LOOKUP(1,0/((WHSU6439229!AR:AR=$D$24)*(WHSU6439229!A:A=B9)),WHSU6439229!E:E)</x:f>
        <x:v>#N/A</x:v>
      </x:c>
      <x:c r="E9" s="357" t="e">
        <x:f>_xlfn.XLOOKUP(D9,商品汇总表!$B:$B,商品汇总表!$D:$D,"")</x:f>
        <x:v>#NAME?</x:v>
      </x:c>
      <x:c r="F9" s="362" t="e" cm="1">
        <x:f t="array" ref="F9:L9">_xlfn.LET(_xlpm.数组,B9&amp;D9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9" s="363" t="str">
        <x:v>套</x:v>
      </x:c>
      <x:c r="H9" s="364">
        <x:v>13125</x:v>
      </x:c>
      <x:c r="I9" s="365">
        <x:v>13125</x:v>
      </x:c>
      <x:c r="J9" s="366">
        <x:v>866</x:v>
      </x:c>
      <x:c r="K9" s="367">
        <x:v>830</x:v>
      </x:c>
      <x:c r="L9" s="368">
        <x:v>1</x:v>
      </x:c>
      <x:c r="M9" s="363" t="s">
        <x:v>1492</x:v>
      </x:c>
      <x:c r="N9" s="369"/>
      <x:c r="O9" s="369"/>
      <x:c r="P9" s="370"/>
      <x:c r="Q9" s="371"/>
      <x:c r="R9" s="371"/>
      <x:c r="S9" s="371"/>
      <x:c r="T9" s="371"/>
    </x:row>
    <x:row r="10" s="337" customFormat="1" ht="40" customHeight="1">
      <x:c r="B10" s="359">
        <x:v>2</x:v>
      </x:c>
      <x:c r="C10" s="360" t="e">
        <x:f>_xlfn.XLOOKUP(D10,商品汇总表!$B:$B,商品汇总表!$A:$A,"")</x:f>
        <x:v>#NAME?</x:v>
      </x:c>
      <x:c r="D10" s="361" t="e" cm="1">
        <x:f t="array" ref="D10">LOOKUP(1,0/((WHSU6439229!AR:AR=$D$24)*(WHSU6439229!A:A=B10)),WHSU6439229!E:E)</x:f>
        <x:v>#N/A</x:v>
      </x:c>
      <x:c r="E10" s="357" t="e">
        <x:f>_xlfn.XLOOKUP(D10,商品汇总表!$B:$B,商品汇总表!$D:$D,"")</x:f>
        <x:v>#NAME?</x:v>
      </x:c>
      <x:c r="F10" s="362" t="e" cm="1">
        <x:f t="array" ref="F10:L10">_xlfn.LET(_xlpm.数组,B10&amp;D10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10" s="363" t="str">
        <x:v>套</x:v>
      </x:c>
      <x:c r="H10" s="364">
        <x:v>11812.5</x:v>
      </x:c>
      <x:c r="I10" s="365">
        <x:v>11812.5</x:v>
      </x:c>
      <x:c r="J10" s="366">
        <x:v>866</x:v>
      </x:c>
      <x:c r="K10" s="367">
        <x:v>830</x:v>
      </x:c>
      <x:c r="L10" s="368">
        <x:v>1</x:v>
      </x:c>
      <x:c r="M10" s="363" t="s">
        <x:v>1492</x:v>
      </x:c>
      <x:c r="N10" s="369"/>
      <x:c r="O10" s="369"/>
      <x:c r="P10" s="370"/>
      <x:c r="Q10" s="371"/>
      <x:c r="R10" s="371"/>
      <x:c r="S10" s="371"/>
      <x:c r="T10" s="371"/>
    </x:row>
    <x:row r="11" s="337" customFormat="1" ht="40" customHeight="1">
      <x:c r="B11" s="359">
        <x:v>3</x:v>
      </x:c>
      <x:c r="C11" s="360" t="e">
        <x:f>_xlfn.XLOOKUP(D11,商品汇总表!$B:$B,商品汇总表!$A:$A,"")</x:f>
        <x:v>#NAME?</x:v>
      </x:c>
      <x:c r="D11" s="361" t="e" cm="1">
        <x:f t="array" ref="D11">LOOKUP(1,0/((WHSU6439229!AR:AR=$D$24)*(WHSU6439229!A:A=B11)),WHSU6439229!E:E)</x:f>
        <x:v>#N/A</x:v>
      </x:c>
      <x:c r="E11" s="357" t="e">
        <x:f>_xlfn.XLOOKUP(D11,商品汇总表!$B:$B,商品汇总表!$D:$D,"")</x:f>
        <x:v>#NAME?</x:v>
      </x:c>
      <x:c r="F11" s="362" t="e" cm="1">
        <x:f t="array" ref="F11:L11">_xlfn.LET(_xlpm.数组,B11&amp;D11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11" s="363" t="str">
        <x:v>套</x:v>
      </x:c>
      <x:c r="H11" s="364">
        <x:v>7145.83</x:v>
      </x:c>
      <x:c r="I11" s="365">
        <x:v>7145.83</x:v>
      </x:c>
      <x:c r="J11" s="366">
        <x:v>383</x:v>
      </x:c>
      <x:c r="K11" s="367">
        <x:v>350</x:v>
      </x:c>
      <x:c r="L11" s="368">
        <x:v>1</x:v>
      </x:c>
      <x:c r="M11" s="363" t="s">
        <x:v>1492</x:v>
      </x:c>
      <x:c r="N11" s="369"/>
      <x:c r="O11" s="369"/>
      <x:c r="P11" s="370"/>
      <x:c r="Q11" s="371"/>
      <x:c r="R11" s="371"/>
      <x:c r="S11" s="371"/>
      <x:c r="T11" s="371"/>
    </x:row>
    <x:row r="12" s="337" customFormat="1" ht="40" customHeight="1">
      <x:c r="B12" s="359">
        <x:v>4</x:v>
      </x:c>
      <x:c r="C12" s="360" t="e">
        <x:f>_xlfn.XLOOKUP(D12,商品汇总表!$B:$B,商品汇总表!$A:$A,"")</x:f>
        <x:v>#NAME?</x:v>
      </x:c>
      <x:c r="D12" s="361" t="e" cm="1">
        <x:f t="array" ref="D12">LOOKUP(1,0/((WHSU6439229!AR:AR=$D$24)*(WHSU6439229!A:A=B12)),WHSU6439229!E:E)</x:f>
        <x:v>#N/A</x:v>
      </x:c>
      <x:c r="E12" s="357" t="e">
        <x:f>_xlfn.XLOOKUP(D12,商品汇总表!$B:$B,商品汇总表!$D:$D,"")</x:f>
        <x:v>#NAME?</x:v>
      </x:c>
      <x:c r="F12" s="362" t="e" cm="1">
        <x:f t="array" ref="F12:L12">_xlfn.LET(_xlpm.数组,B12&amp;D12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12" s="363" t="str">
        <x:v>套</x:v>
      </x:c>
      <x:c r="H12" s="364">
        <x:v>7291.66</x:v>
      </x:c>
      <x:c r="I12" s="365">
        <x:v>7291.66</x:v>
      </x:c>
      <x:c r="J12" s="366">
        <x:v>473</x:v>
      </x:c>
      <x:c r="K12" s="367">
        <x:v>440</x:v>
      </x:c>
      <x:c r="L12" s="368">
        <x:v>1</x:v>
      </x:c>
      <x:c r="M12" s="363" t="s">
        <x:v>1492</x:v>
      </x:c>
      <x:c r="N12" s="369"/>
      <x:c r="O12" s="369"/>
      <x:c r="P12" s="370"/>
      <x:c r="Q12" s="371"/>
      <x:c r="R12" s="371"/>
      <x:c r="S12" s="371"/>
      <x:c r="T12" s="371"/>
    </x:row>
    <x:row r="13" s="337" customFormat="1" ht="40" customHeight="1">
      <x:c r="B13" s="359">
        <x:v>5</x:v>
      </x:c>
      <x:c r="C13" s="360" t="e">
        <x:f>_xlfn.XLOOKUP(D13,商品汇总表!$B:$B,商品汇总表!$A:$A,"")</x:f>
        <x:v>#NAME?</x:v>
      </x:c>
      <x:c r="D13" s="361" t="e" cm="1">
        <x:f t="array" ref="D13">LOOKUP(1,0/((WHSU6439229!AR:AR=$D$24)*(WHSU6439229!A:A=B13)),WHSU6439229!E:E)</x:f>
        <x:v>#N/A</x:v>
      </x:c>
      <x:c r="E13" s="357" t="e">
        <x:f>_xlfn.XLOOKUP(D13,商品汇总表!$B:$B,商品汇总表!$D:$D,"")</x:f>
        <x:v>#NAME?</x:v>
      </x:c>
      <x:c r="F13" s="362" t="e" cm="1">
        <x:f t="array" ref="F13:L13">_xlfn.LET(_xlpm.数组,B13&amp;D13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13" s="363" t="str">
        <x:v>套</x:v>
      </x:c>
      <x:c r="H13" s="364">
        <x:v>5979.16</x:v>
      </x:c>
      <x:c r="I13" s="365">
        <x:v>5979.16</x:v>
      </x:c>
      <x:c r="J13" s="366">
        <x:v>433</x:v>
      </x:c>
      <x:c r="K13" s="367">
        <x:v>400</x:v>
      </x:c>
      <x:c r="L13" s="368">
        <x:v>1</x:v>
      </x:c>
      <x:c r="M13" s="363" t="s">
        <x:v>1492</x:v>
      </x:c>
      <x:c r="N13" s="369"/>
      <x:c r="O13" s="369"/>
      <x:c r="P13" s="370"/>
      <x:c r="Q13" s="371"/>
      <x:c r="R13" s="371"/>
      <x:c r="S13" s="371"/>
      <x:c r="T13" s="371"/>
    </x:row>
    <x:row r="14" s="337" customFormat="1" ht="40" customHeight="1">
      <x:c r="B14" s="359">
        <x:v>6</x:v>
      </x:c>
      <x:c r="C14" s="360" t="e">
        <x:f>_xlfn.XLOOKUP(D14,商品汇总表!$B:$B,商品汇总表!$A:$A,"")</x:f>
        <x:v>#NAME?</x:v>
      </x:c>
      <x:c r="D14" s="361" t="e" cm="1">
        <x:f t="array" ref="D14">LOOKUP(1,0/((WHSU6439229!AR:AR=$D$24)*(WHSU6439229!A:A=B14)),WHSU6439229!E:E)</x:f>
        <x:v>#N/A</x:v>
      </x:c>
      <x:c r="E14" s="357" t="e">
        <x:f>_xlfn.XLOOKUP(D14,商品汇总表!$B:$B,商品汇总表!$D:$D,"")</x:f>
        <x:v>#NAME?</x:v>
      </x:c>
      <x:c r="F14" s="362" t="e" cm="1">
        <x:f t="array" ref="F14:L14">_xlfn.LET(_xlpm.数组,B14&amp;D14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14" s="363" t="str">
        <x:v>套</x:v>
      </x:c>
      <x:c r="H14" s="364">
        <x:v>6854.17</x:v>
      </x:c>
      <x:c r="I14" s="365">
        <x:v>6854.17</x:v>
      </x:c>
      <x:c r="J14" s="366">
        <x:v>433</x:v>
      </x:c>
      <x:c r="K14" s="367">
        <x:v>300</x:v>
      </x:c>
      <x:c r="L14" s="368">
        <x:v>1</x:v>
      </x:c>
      <x:c r="M14" s="363" t="s">
        <x:v>1492</x:v>
      </x:c>
      <x:c r="N14" s="369"/>
      <x:c r="O14" s="369"/>
      <x:c r="P14" s="370"/>
      <x:c r="Q14" s="371"/>
      <x:c r="R14" s="371"/>
      <x:c r="S14" s="371"/>
      <x:c r="T14" s="371"/>
    </x:row>
    <x:row r="15" s="337" customFormat="1" ht="40" customHeight="1">
      <x:c r="B15" s="359">
        <x:v>7</x:v>
      </x:c>
      <x:c r="C15" s="360" t="e">
        <x:f>_xlfn.XLOOKUP(D15,商品汇总表!$B:$B,商品汇总表!$A:$A,"")</x:f>
        <x:v>#NAME?</x:v>
      </x:c>
      <x:c r="D15" s="361" t="e" cm="1">
        <x:f t="array" ref="D15">LOOKUP(1,0/((WHSU6439229!AR:AR=$D$24)*(WHSU6439229!A:A=B15)),WHSU6439229!E:E)</x:f>
        <x:v>#N/A</x:v>
      </x:c>
      <x:c r="E15" s="357" t="e">
        <x:f>_xlfn.XLOOKUP(D15,商品汇总表!$B:$B,商品汇总表!$D:$D,"")</x:f>
        <x:v>#NAME?</x:v>
      </x:c>
      <x:c r="F15" s="362" t="e" cm="1">
        <x:f t="array" ref="F15:L15">_xlfn.LET(_xlpm.数组,B15&amp;D15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15" s="363" t="str">
        <x:v>套</x:v>
      </x:c>
      <x:c r="H15" s="364">
        <x:v>4156.25</x:v>
      </x:c>
      <x:c r="I15" s="365">
        <x:v>4156.25</x:v>
      </x:c>
      <x:c r="J15" s="366">
        <x:v>199</x:v>
      </x:c>
      <x:c r="K15" s="367">
        <x:v>170</x:v>
      </x:c>
      <x:c r="L15" s="368">
        <x:v>1</x:v>
      </x:c>
      <x:c r="M15" s="363" t="s">
        <x:v>1492</x:v>
      </x:c>
      <x:c r="N15" s="369"/>
      <x:c r="O15" s="369"/>
      <x:c r="P15" s="370"/>
      <x:c r="Q15" s="371"/>
      <x:c r="R15" s="371"/>
      <x:c r="S15" s="371"/>
      <x:c r="T15" s="371"/>
    </x:row>
    <x:row r="16" s="337" customFormat="1" ht="40" customHeight="1">
      <x:c r="B16" s="359">
        <x:v>8</x:v>
      </x:c>
      <x:c r="C16" s="360" t="e">
        <x:f>_xlfn.XLOOKUP(D16,商品汇总表!$B:$B,商品汇总表!$A:$A,"")</x:f>
        <x:v>#NAME?</x:v>
      </x:c>
      <x:c r="D16" s="361" t="e" cm="1">
        <x:f t="array" ref="D16">LOOKUP(1,0/((WHSU6439229!AR:AR=$D$24)*(WHSU6439229!A:A=B16)),WHSU6439229!E:E)</x:f>
        <x:v>#N/A</x:v>
      </x:c>
      <x:c r="E16" s="357" t="e">
        <x:f>_xlfn.XLOOKUP(D16,商品汇总表!$B:$B,商品汇总表!$D:$D,"")</x:f>
        <x:v>#NAME?</x:v>
      </x:c>
      <x:c r="F16" s="362" t="e" cm="1">
        <x:f t="array" ref="F16:L16">_xlfn.LET(_xlpm.数组,B16&amp;D16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16" s="363" t="str">
        <x:v>套</x:v>
      </x:c>
      <x:c r="H16" s="364">
        <x:v>6562.5</x:v>
      </x:c>
      <x:c r="I16" s="365">
        <x:v>6562.5</x:v>
      </x:c>
      <x:c r="J16" s="366">
        <x:v>239</x:v>
      </x:c>
      <x:c r="K16" s="367">
        <x:v>210</x:v>
      </x:c>
      <x:c r="L16" s="368">
        <x:v>1</x:v>
      </x:c>
      <x:c r="M16" s="363" t="s">
        <x:v>1492</x:v>
      </x:c>
      <x:c r="N16" s="369"/>
      <x:c r="O16" s="369"/>
      <x:c r="P16" s="370"/>
      <x:c r="Q16" s="371"/>
      <x:c r="R16" s="371"/>
      <x:c r="S16" s="371"/>
      <x:c r="T16" s="371"/>
    </x:row>
    <x:row r="17" s="337" customFormat="1" ht="40" customHeight="1">
      <x:c r="B17" s="359">
        <x:v>9</x:v>
      </x:c>
      <x:c r="C17" s="360" t="e">
        <x:f>_xlfn.XLOOKUP(D17,商品汇总表!$B:$B,商品汇总表!$A:$A,"")</x:f>
        <x:v>#NAME?</x:v>
      </x:c>
      <x:c r="D17" s="361" t="e" cm="1">
        <x:f t="array" ref="D17">LOOKUP(1,0/((WHSU6439229!AR:AR=$D$24)*(WHSU6439229!A:A=B17)),WHSU6439229!E:E)</x:f>
        <x:v>#N/A</x:v>
      </x:c>
      <x:c r="E17" s="357" t="e">
        <x:f>_xlfn.XLOOKUP(D17,商品汇总表!$B:$B,商品汇总表!$D:$D,"")</x:f>
        <x:v>#NAME?</x:v>
      </x:c>
      <x:c r="F17" s="362" t="e" cm="1">
        <x:f t="array" ref="F17:L17">_xlfn.LET(_xlpm.数组,B17&amp;D17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17" s="363" t="str">
        <x:v>套</x:v>
      </x:c>
      <x:c r="H17" s="364">
        <x:v>8531.25</x:v>
      </x:c>
      <x:c r="I17" s="365">
        <x:v>8531.25</x:v>
      </x:c>
      <x:c r="J17" s="366">
        <x:v>733</x:v>
      </x:c>
      <x:c r="K17" s="367">
        <x:v>700</x:v>
      </x:c>
      <x:c r="L17" s="368">
        <x:v>1</x:v>
      </x:c>
      <x:c r="M17" s="363" t="s">
        <x:v>1492</x:v>
      </x:c>
      <x:c r="N17" s="369"/>
      <x:c r="O17" s="369"/>
      <x:c r="P17" s="370"/>
      <x:c r="Q17" s="371"/>
      <x:c r="R17" s="371"/>
      <x:c r="S17" s="371"/>
      <x:c r="T17" s="371"/>
    </x:row>
    <x:row r="18" s="337" customFormat="1" ht="40" customHeight="1">
      <x:c r="B18" s="359">
        <x:v>10</x:v>
      </x:c>
      <x:c r="C18" s="360" t="e">
        <x:f>_xlfn.XLOOKUP(D18,商品汇总表!$B:$B,商品汇总表!$A:$A,"")</x:f>
        <x:v>#NAME?</x:v>
      </x:c>
      <x:c r="D18" s="361" t="e" cm="1">
        <x:f t="array" ref="D18">LOOKUP(1,0/((WHSU6439229!AR:AR=$D$24)*(WHSU6439229!A:A=B18)),WHSU6439229!E:E)</x:f>
        <x:v>#N/A</x:v>
      </x:c>
      <x:c r="E18" s="357" t="e">
        <x:f>_xlfn.XLOOKUP(D18,商品汇总表!$B:$B,商品汇总表!$D:$D,"")</x:f>
        <x:v>#NAME?</x:v>
      </x:c>
      <x:c r="F18" s="362" t="e" cm="1">
        <x:f t="array" ref="F18:L18">_xlfn.LET(_xlpm.数组,B18&amp;D18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18" s="363" t="str">
        <x:v>套</x:v>
      </x:c>
      <x:c r="H18" s="364">
        <x:v>6234.38</x:v>
      </x:c>
      <x:c r="I18" s="365">
        <x:v>6234.38</x:v>
      </x:c>
      <x:c r="J18" s="366">
        <x:v>453</x:v>
      </x:c>
      <x:c r="K18" s="367">
        <x:v>420</x:v>
      </x:c>
      <x:c r="L18" s="368">
        <x:v>1</x:v>
      </x:c>
      <x:c r="M18" s="363" t="s">
        <x:v>1492</x:v>
      </x:c>
      <x:c r="N18" s="369"/>
      <x:c r="O18" s="369"/>
      <x:c r="P18" s="370"/>
      <x:c r="Q18" s="371"/>
      <x:c r="R18" s="371"/>
      <x:c r="S18" s="371"/>
      <x:c r="T18" s="371"/>
    </x:row>
    <x:row r="19" s="337" customFormat="1" ht="40" customHeight="1">
      <x:c r="B19" s="359">
        <x:v>11</x:v>
      </x:c>
      <x:c r="C19" s="360" t="e">
        <x:f>_xlfn.XLOOKUP(D19,商品汇总表!$B:$B,商品汇总表!$A:$A,"")</x:f>
        <x:v>#NAME?</x:v>
      </x:c>
      <x:c r="D19" s="361" t="e" cm="1">
        <x:f t="array" ref="D19">LOOKUP(1,0/((WHSU6439229!AR:AR=$D$24)*(WHSU6439229!A:A=B19)),WHSU6439229!E:E)</x:f>
        <x:v>#N/A</x:v>
      </x:c>
      <x:c r="E19" s="357" t="e">
        <x:f>_xlfn.XLOOKUP(D19,商品汇总表!$B:$B,商品汇总表!$D:$D,"")</x:f>
        <x:v>#NAME?</x:v>
      </x:c>
      <x:c r="F19" s="362" t="e" cm="1">
        <x:f t="array" ref="F19:L19">_xlfn.LET(_xlpm.数组,B19&amp;D19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19" s="363" t="str">
        <x:v>套</x:v>
      </x:c>
      <x:c r="H19" s="364">
        <x:v>4958.33</x:v>
      </x:c>
      <x:c r="I19" s="365">
        <x:v>4958.33</x:v>
      </x:c>
      <x:c r="J19" s="366">
        <x:v>281</x:v>
      </x:c>
      <x:c r="K19" s="367">
        <x:v>250</x:v>
      </x:c>
      <x:c r="L19" s="368">
        <x:v>1</x:v>
      </x:c>
      <x:c r="M19" s="363" t="s">
        <x:v>1492</x:v>
      </x:c>
      <x:c r="N19" s="369"/>
      <x:c r="O19" s="369"/>
      <x:c r="P19" s="370"/>
      <x:c r="Q19" s="371"/>
      <x:c r="R19" s="371"/>
      <x:c r="S19" s="371"/>
      <x:c r="T19" s="371"/>
    </x:row>
    <x:row r="20" s="337" customFormat="1" ht="40" customHeight="1">
      <x:c r="B20" s="359">
        <x:v>12</x:v>
      </x:c>
      <x:c r="C20" s="360" t="e">
        <x:f>_xlfn.XLOOKUP(D20,商品汇总表!$B:$B,商品汇总表!$A:$A,"")</x:f>
        <x:v>#NAME?</x:v>
      </x:c>
      <x:c r="D20" s="361" t="e" cm="1">
        <x:f t="array" ref="D20">LOOKUP(1,0/((WHSU6439229!AR:AR=$D$24)*(WHSU6439229!A:A=B20)),WHSU6439229!E:E)</x:f>
        <x:v>#N/A</x:v>
      </x:c>
      <x:c r="E20" s="357" t="e">
        <x:f>_xlfn.XLOOKUP(D20,商品汇总表!$B:$B,商品汇总表!$D:$D,"")</x:f>
        <x:v>#NAME?</x:v>
      </x:c>
      <x:c r="F20" s="362" t="e" cm="1">
        <x:f t="array" ref="F20:L20">_xlfn.LET(_xlpm.数组,B20&amp;D20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20" s="363" t="str">
        <x:v>套</x:v>
      </x:c>
      <x:c r="H20" s="364">
        <x:v>6662.93</x:v>
      </x:c>
      <x:c r="I20" s="365">
        <x:v>6662.93</x:v>
      </x:c>
      <x:c r="J20" s="366">
        <x:v>359</x:v>
      </x:c>
      <x:c r="K20" s="367">
        <x:v>330</x:v>
      </x:c>
      <x:c r="L20" s="368">
        <x:v>1</x:v>
      </x:c>
      <x:c r="M20" s="363" t="s">
        <x:v>1492</x:v>
      </x:c>
      <x:c r="N20" s="369"/>
      <x:c r="O20" s="369"/>
      <x:c r="P20" s="370"/>
      <x:c r="Q20" s="371"/>
      <x:c r="R20" s="371"/>
      <x:c r="S20" s="371"/>
      <x:c r="T20" s="371"/>
    </x:row>
    <x:row r="21" s="337" customFormat="1" ht="40" customHeight="1">
      <x:c r="B21" s="359">
        <x:v>13</x:v>
      </x:c>
      <x:c r="C21" s="360" t="e">
        <x:f>_xlfn.XLOOKUP(D21,商品汇总表!$B:$B,商品汇总表!$A:$A,"")</x:f>
        <x:v>#NAME?</x:v>
      </x:c>
      <x:c r="D21" s="361" t="e" cm="1">
        <x:f t="array" ref="D21">LOOKUP(1,0/((WHSU6439229!AR:AR=$D$24)*(WHSU6439229!A:A=B21)),WHSU6439229!E:E)</x:f>
        <x:v>#N/A</x:v>
      </x:c>
      <x:c r="E21" s="357" t="e">
        <x:f>_xlfn.XLOOKUP(D21,商品汇总表!$B:$B,商品汇总表!$D:$D,"")</x:f>
        <x:v>#NAME?</x:v>
      </x:c>
      <x:c r="F21" s="362" t="e" cm="1">
        <x:f t="array" ref="F21:L21">_xlfn.LET(_xlpm.数组,B21&amp;D21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21" s="363" t="str">
        <x:v>套</x:v>
      </x:c>
      <x:c r="H21" s="364">
        <x:v>6234.37</x:v>
      </x:c>
      <x:c r="I21" s="365">
        <x:v>6234.37</x:v>
      </x:c>
      <x:c r="J21" s="366">
        <x:v>453</x:v>
      </x:c>
      <x:c r="K21" s="367">
        <x:v>420</x:v>
      </x:c>
      <x:c r="L21" s="368">
        <x:v>1</x:v>
      </x:c>
      <x:c r="M21" s="363" t="s">
        <x:v>1492</x:v>
      </x:c>
      <x:c r="N21" s="369"/>
      <x:c r="O21" s="369"/>
      <x:c r="P21" s="370"/>
      <x:c r="Q21" s="371"/>
      <x:c r="R21" s="371"/>
      <x:c r="S21" s="371"/>
      <x:c r="T21" s="371"/>
    </x:row>
    <x:row r="22" s="337" customFormat="1" ht="40" customHeight="1">
      <x:c r="B22" s="359">
        <x:v>14</x:v>
      </x:c>
      <x:c r="C22" s="360" t="e">
        <x:f>_xlfn.XLOOKUP(D22,商品汇总表!$B:$B,商品汇总表!$A:$A,"")</x:f>
        <x:v>#NAME?</x:v>
      </x:c>
      <x:c r="D22" s="361" t="e" cm="1">
        <x:f t="array" ref="D22">LOOKUP(1,0/((WHSU6439229!AR:AR=$D$24)*(WHSU6439229!A:A=B22)),WHSU6439229!E:E)</x:f>
        <x:v>#N/A</x:v>
      </x:c>
      <x:c r="E22" s="357" t="e">
        <x:f>_xlfn.XLOOKUP(D22,商品汇总表!$B:$B,商品汇总表!$D:$D,"")</x:f>
        <x:v>#NAME?</x:v>
      </x:c>
      <x:c r="F22" s="362" t="e" cm="1">
        <x:f t="array" ref="F22:L22">_xlfn.LET(_xlpm.数组,B22&amp;D22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22" s="363" t="str">
        <x:v>套</x:v>
      </x:c>
      <x:c r="H22" s="364">
        <x:v>6234.37</x:v>
      </x:c>
      <x:c r="I22" s="365">
        <x:v>6234.37</x:v>
      </x:c>
      <x:c r="J22" s="366">
        <x:v>453</x:v>
      </x:c>
      <x:c r="K22" s="367">
        <x:v>420</x:v>
      </x:c>
      <x:c r="L22" s="368">
        <x:v>1</x:v>
      </x:c>
      <x:c r="M22" s="363" t="s">
        <x:v>1492</x:v>
      </x:c>
      <x:c r="N22" s="369"/>
      <x:c r="O22" s="369"/>
      <x:c r="P22" s="370"/>
      <x:c r="Q22" s="371"/>
      <x:c r="R22" s="371"/>
      <x:c r="S22" s="371"/>
      <x:c r="T22" s="371"/>
    </x:row>
    <x:row r="23" s="337" customFormat="1" ht="40" customHeight="1">
      <x:c r="B23" s="359">
        <x:v>15</x:v>
      </x:c>
      <x:c r="C23" s="360" t="e">
        <x:f>_xlfn.XLOOKUP(D23,商品汇总表!$B:$B,商品汇总表!$A:$A,"")</x:f>
        <x:v>#NAME?</x:v>
      </x:c>
      <x:c r="D23" s="361" t="e" cm="1">
        <x:f t="array" ref="D23">LOOKUP(1,0/((WHSU6439229!AR:AR=$D$24)*(WHSU6439229!A:A=B23)),WHSU6439229!E:E)</x:f>
        <x:v>#N/A</x:v>
      </x:c>
      <x:c r="E23" s="357" t="e">
        <x:f>_xlfn.XLOOKUP(D23,商品汇总表!$B:$B,商品汇总表!$D:$D,"")</x:f>
        <x:v>#NAME?</x:v>
      </x:c>
      <x:c r="F23" s="362" t="e" cm="1">
        <x:f t="array" ref="F23:L23">_xlfn.LET(_xlpm.数组,B23&amp;D23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23" s="363" t="str">
        <x:v>套</x:v>
      </x:c>
      <x:c r="H23" s="364">
        <x:v>6234.37</x:v>
      </x:c>
      <x:c r="I23" s="365">
        <x:v>6234.37</x:v>
      </x:c>
      <x:c r="J23" s="366">
        <x:v>453</x:v>
      </x:c>
      <x:c r="K23" s="367">
        <x:v>420</x:v>
      </x:c>
      <x:c r="L23" s="368">
        <x:v>1</x:v>
      </x:c>
      <x:c r="M23" s="363" t="s">
        <x:v>1492</x:v>
      </x:c>
      <x:c r="N23" s="369"/>
      <x:c r="O23" s="369"/>
      <x:c r="P23" s="370"/>
      <x:c r="Q23" s="371"/>
      <x:c r="R23" s="371"/>
      <x:c r="S23" s="371"/>
      <x:c r="T23" s="371"/>
    </x:row>
    <x:row r="24" s="337" customFormat="1" ht="40" customHeight="1">
      <x:c r="B24" s="372"/>
      <x:c r="C24" s="373"/>
      <x:c r="D24" s="374" t="s">
        <x:v>84</x:v>
      </x:c>
      <x:c r="E24" s="374"/>
      <x:c r="F24" s="375" t="e">
        <x:f>SUM(F9:F23)</x:f>
        <x:v>#NAME?</x:v>
      </x:c>
      <x:c r="G24" s="376"/>
      <x:c r="H24" s="377"/>
      <x:c r="I24" s="375" t="n">
        <x:f>SUM(I9:I23)</x:f>
        <x:v>108017.07</x:v>
      </x:c>
      <x:c r="J24" s="375" t="n">
        <x:f>SUM(J9:J23)</x:f>
        <x:v>7077</x:v>
      </x:c>
      <x:c r="K24" s="375" t="n">
        <x:f>SUM(K9:K23)</x:f>
        <x:v>6490</x:v>
      </x:c>
      <x:c r="L24" s="375" t="n">
        <x:f>SUM(L9:L23)</x:f>
        <x:v>15</x:v>
      </x:c>
      <x:c r="M24" s="375"/>
      <x:c r="N24" s="369"/>
      <x:c r="O24" s="369"/>
      <x:c r="P24" s="370"/>
      <x:c r="Q24" s="371"/>
      <x:c r="R24" s="371"/>
      <x:c r="S24" s="371"/>
      <x:c r="T24" s="371"/>
    </x:row>
    <x:row r="25" s="337" customFormat="1" ht="40" customHeight="1">
      <x:c r="B25" s="359">
        <x:v>16</x:v>
      </x:c>
      <x:c r="C25" s="360" t="e">
        <x:f>_xlfn.XLOOKUP(D25,商品汇总表!$B:$B,商品汇总表!$A:$A,"")</x:f>
        <x:v>#NAME?</x:v>
      </x:c>
      <x:c r="D25" s="361" t="e" cm="1">
        <x:f t="array" ref="D25">LOOKUP(1,0/((WHSU6439229!AR:AR=$D$43)*(WHSU6439229!A:A=B25)),WHSU6439229!E:E)</x:f>
        <x:v>#N/A</x:v>
      </x:c>
      <x:c r="E25" s="357" t="e">
        <x:f>_xlfn.XLOOKUP(D25,商品汇总表!$B:$B,商品汇总表!$D:$D,"")</x:f>
        <x:v>#NAME?</x:v>
      </x:c>
      <x:c r="F25" s="362" t="e" cm="1">
        <x:f t="array" ref="F25:L25">_xlfn.LET(_xlpm.数组,B25&amp;D25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25" s="363" t="str">
        <x:v>套</x:v>
      </x:c>
      <x:c r="H25" s="364">
        <x:v>232.35</x:v>
      </x:c>
      <x:c r="I25" s="365">
        <x:v>10455.75</x:v>
      </x:c>
      <x:c r="J25" s="366">
        <x:v>5095.27</x:v>
      </x:c>
      <x:c r="K25" s="367">
        <x:v>5095</x:v>
      </x:c>
      <x:c r="L25" s="368">
        <x:v>1</x:v>
      </x:c>
      <x:c r="M25" s="363" t="s">
        <x:v>1492</x:v>
      </x:c>
      <x:c r="N25" s="369"/>
      <x:c r="O25" s="369"/>
      <x:c r="P25" s="370"/>
      <x:c r="Q25" s="371"/>
      <x:c r="R25" s="371"/>
      <x:c r="S25" s="371"/>
      <x:c r="T25" s="371"/>
    </x:row>
    <x:row r="26" s="337" customFormat="1" ht="40" customHeight="1">
      <x:c r="B26" s="359">
        <x:v>17</x:v>
      </x:c>
      <x:c r="C26" s="360" t="e">
        <x:f>_xlfn.XLOOKUP(D26,商品汇总表!$B:$B,商品汇总表!$A:$A,"")</x:f>
        <x:v>#NAME?</x:v>
      </x:c>
      <x:c r="D26" s="361" t="e" cm="1">
        <x:f t="array" ref="D26">LOOKUP(1,0/((WHSU6439229!AR:AR=$D$43)*(WHSU6439229!A:A=B26)),WHSU6439229!E:E)</x:f>
        <x:v>#N/A</x:v>
      </x:c>
      <x:c r="E26" s="357" t="e">
        <x:f>_xlfn.XLOOKUP(D26,商品汇总表!$B:$B,商品汇总表!$D:$D,"")</x:f>
        <x:v>#NAME?</x:v>
      </x:c>
      <x:c r="F26" s="362" t="e" cm="1">
        <x:f t="array" ref="F26:L26">_xlfn.LET(_xlpm.数组,B26&amp;D26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26" s="363" t="str">
        <x:v>套</x:v>
      </x:c>
      <x:c r="H26" s="364">
        <x:v>50</x:v>
      </x:c>
      <x:c r="I26" s="365">
        <x:v>900</x:v>
      </x:c>
      <x:c r="J26" s="366">
        <x:v>658.8</x:v>
      </x:c>
      <x:c r="K26" s="367">
        <x:v>658.8</x:v>
      </x:c>
      <x:c r="L26" s="368">
        <x:v>1</x:v>
      </x:c>
      <x:c r="M26" s="363" t="s">
        <x:v>1492</x:v>
      </x:c>
      <x:c r="N26" s="369"/>
      <x:c r="O26" s="369"/>
      <x:c r="P26" s="370"/>
      <x:c r="Q26" s="371"/>
      <x:c r="R26" s="371"/>
      <x:c r="S26" s="371"/>
      <x:c r="T26" s="371"/>
    </x:row>
    <x:row r="27" s="337" customFormat="1" ht="40" customHeight="1">
      <x:c r="B27" s="359">
        <x:v>18</x:v>
      </x:c>
      <x:c r="C27" s="360" t="e">
        <x:f>_xlfn.XLOOKUP(D27,商品汇总表!$B:$B,商品汇总表!$A:$A,"")</x:f>
        <x:v>#NAME?</x:v>
      </x:c>
      <x:c r="D27" s="361" t="e" cm="1">
        <x:f t="array" ref="D27">LOOKUP(1,0/((WHSU6439229!AR:AR=$D$43)*(WHSU6439229!A:A=B27)),WHSU6439229!E:E)</x:f>
        <x:v>#N/A</x:v>
      </x:c>
      <x:c r="E27" s="357" t="e">
        <x:f>_xlfn.XLOOKUP(D27,商品汇总表!$B:$B,商品汇总表!$D:$D,"")</x:f>
        <x:v>#NAME?</x:v>
      </x:c>
      <x:c r="F27" s="362" t="e" cm="1">
        <x:f t="array" ref="F27:L27">_xlfn.LET(_xlpm.数组,B27&amp;D27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27" s="363" t="str">
        <x:v>个</x:v>
      </x:c>
      <x:c r="H27" s="364">
        <x:v>24.84</x:v>
      </x:c>
      <x:c r="I27" s="365">
        <x:v>74.52</x:v>
      </x:c>
      <x:c r="J27" s="366">
        <x:v>0.33</x:v>
      </x:c>
      <x:c r="K27" s="367">
        <x:v>0.3</x:v>
      </x:c>
      <x:c r="L27" s="368">
        <x:v>1</x:v>
      </x:c>
      <x:c r="M27" s="363" t="s">
        <x:v>1492</x:v>
      </x:c>
      <x:c r="N27" s="369"/>
      <x:c r="O27" s="369"/>
      <x:c r="P27" s="370"/>
      <x:c r="Q27" s="371"/>
      <x:c r="R27" s="371"/>
      <x:c r="S27" s="371"/>
      <x:c r="T27" s="371"/>
    </x:row>
    <x:row r="28" s="337" customFormat="1" ht="40" customHeight="1">
      <x:c r="B28" s="359">
        <x:v>19</x:v>
      </x:c>
      <x:c r="C28" s="360" t="e">
        <x:f>_xlfn.XLOOKUP(D28,商品汇总表!$B:$B,商品汇总表!$A:$A,"")</x:f>
        <x:v>#NAME?</x:v>
      </x:c>
      <x:c r="D28" s="361" t="e" cm="1">
        <x:f t="array" ref="D28">LOOKUP(1,0/((WHSU6439229!AR:AR=$D$43)*(WHSU6439229!A:A=B28)),WHSU6439229!E:E)</x:f>
        <x:v>#N/A</x:v>
      </x:c>
      <x:c r="E28" s="357" t="e">
        <x:f>_xlfn.XLOOKUP(D28,商品汇总表!$B:$B,商品汇总表!$D:$D,"")</x:f>
        <x:v>#NAME?</x:v>
      </x:c>
      <x:c r="F28" s="362" t="e" cm="1">
        <x:f t="array" ref="F28:L28">_xlfn.LET(_xlpm.数组,B28&amp;D28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28" s="363" t="str">
        <x:v>个</x:v>
      </x:c>
      <x:c r="H28" s="364">
        <x:v>8.72</x:v>
      </x:c>
      <x:c r="I28" s="365">
        <x:v>26.16</x:v>
      </x:c>
      <x:c r="J28" s="366">
        <x:v>0.24</x:v>
      </x:c>
      <x:c r="K28" s="367">
        <x:v>0.21</x:v>
      </x:c>
      <x:c r="L28" s="368">
        <x:v>0</x:v>
      </x:c>
      <x:c r="M28" s="363" t="s">
        <x:v>1492</x:v>
      </x:c>
      <x:c r="N28" s="369"/>
      <x:c r="O28" s="369"/>
      <x:c r="P28" s="370"/>
      <x:c r="Q28" s="371"/>
      <x:c r="R28" s="371"/>
      <x:c r="S28" s="371"/>
      <x:c r="T28" s="371"/>
    </x:row>
    <x:row r="29" s="337" customFormat="1" ht="40" customHeight="1">
      <x:c r="B29" s="359">
        <x:v>20</x:v>
      </x:c>
      <x:c r="C29" s="360" t="e">
        <x:f>_xlfn.XLOOKUP(D29,商品汇总表!$B:$B,商品汇总表!$A:$A,"")</x:f>
        <x:v>#NAME?</x:v>
      </x:c>
      <x:c r="D29" s="361" t="e" cm="1">
        <x:f t="array" ref="D29">LOOKUP(1,0/((WHSU6439229!AR:AR=$D$43)*(WHSU6439229!A:A=B29)),WHSU6439229!E:E)</x:f>
        <x:v>#N/A</x:v>
      </x:c>
      <x:c r="E29" s="357" t="e">
        <x:f>_xlfn.XLOOKUP(D29,商品汇总表!$B:$B,商品汇总表!$D:$D,"")</x:f>
        <x:v>#NAME?</x:v>
      </x:c>
      <x:c r="F29" s="362" t="e" cm="1">
        <x:f t="array" ref="F29:L29">_xlfn.LET(_xlpm.数组,B29&amp;D29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29" s="363" t="str">
        <x:v>个</x:v>
      </x:c>
      <x:c r="H29" s="364">
        <x:v>8.92</x:v>
      </x:c>
      <x:c r="I29" s="365">
        <x:v>26.76</x:v>
      </x:c>
      <x:c r="J29" s="366">
        <x:v>0.26</x:v>
      </x:c>
      <x:c r="K29" s="367">
        <x:v>0.23</x:v>
      </x:c>
      <x:c r="L29" s="368">
        <x:v>0</x:v>
      </x:c>
      <x:c r="M29" s="363" t="s">
        <x:v>1492</x:v>
      </x:c>
      <x:c r="N29" s="369"/>
      <x:c r="O29" s="369"/>
      <x:c r="P29" s="370"/>
      <x:c r="Q29" s="371"/>
      <x:c r="R29" s="371"/>
      <x:c r="S29" s="371"/>
      <x:c r="T29" s="371"/>
    </x:row>
    <x:row r="30" s="337" customFormat="1" ht="40" customHeight="1">
      <x:c r="B30" s="359">
        <x:v>21</x:v>
      </x:c>
      <x:c r="C30" s="360" t="e">
        <x:f>_xlfn.XLOOKUP(D30,商品汇总表!$B:$B,商品汇总表!$A:$A,"")</x:f>
        <x:v>#NAME?</x:v>
      </x:c>
      <x:c r="D30" s="361" t="e" cm="1">
        <x:f t="array" ref="D30">LOOKUP(1,0/((WHSU6439229!AR:AR=$D$43)*(WHSU6439229!A:A=B30)),WHSU6439229!E:E)</x:f>
        <x:v>#N/A</x:v>
      </x:c>
      <x:c r="E30" s="357" t="e">
        <x:f>_xlfn.XLOOKUP(D30,商品汇总表!$B:$B,商品汇总表!$D:$D,"")</x:f>
        <x:v>#NAME?</x:v>
      </x:c>
      <x:c r="F30" s="362" t="e" cm="1">
        <x:f t="array" ref="F30:L30">_xlfn.LET(_xlpm.数组,B30&amp;D30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30" s="363" t="str">
        <x:v>个</x:v>
      </x:c>
      <x:c r="H30" s="364">
        <x:v>11.33</x:v>
      </x:c>
      <x:c r="I30" s="365">
        <x:v>33.99</x:v>
      </x:c>
      <x:c r="J30" s="366">
        <x:v>0.31</x:v>
      </x:c>
      <x:c r="K30" s="367">
        <x:v>0.28</x:v>
      </x:c>
      <x:c r="L30" s="368">
        <x:v>0</x:v>
      </x:c>
      <x:c r="M30" s="363" t="s">
        <x:v>1492</x:v>
      </x:c>
      <x:c r="N30" s="369"/>
      <x:c r="O30" s="369"/>
      <x:c r="P30" s="370"/>
      <x:c r="Q30" s="371"/>
      <x:c r="R30" s="371"/>
      <x:c r="S30" s="371"/>
      <x:c r="T30" s="371"/>
    </x:row>
    <x:row r="31" s="337" customFormat="1" ht="40" customHeight="1">
      <x:c r="B31" s="359">
        <x:v>22</x:v>
      </x:c>
      <x:c r="C31" s="360" t="e">
        <x:f>_xlfn.XLOOKUP(D31,商品汇总表!$B:$B,商品汇总表!$A:$A,"")</x:f>
        <x:v>#NAME?</x:v>
      </x:c>
      <x:c r="D31" s="361" t="e" cm="1">
        <x:f t="array" ref="D31">LOOKUP(1,0/((WHSU6439229!AR:AR=$D$43)*(WHSU6439229!A:A=B31)),WHSU6439229!E:E)</x:f>
        <x:v>#N/A</x:v>
      </x:c>
      <x:c r="E31" s="357" t="e">
        <x:f>_xlfn.XLOOKUP(D31,商品汇总表!$B:$B,商品汇总表!$D:$D,"")</x:f>
        <x:v>#NAME?</x:v>
      </x:c>
      <x:c r="F31" s="362" t="e" cm="1">
        <x:f t="array" ref="F31:L31">_xlfn.LET(_xlpm.数组,B31&amp;D31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31" s="363" t="str">
        <x:v>个</x:v>
      </x:c>
      <x:c r="H31" s="364">
        <x:v>12.89</x:v>
      </x:c>
      <x:c r="I31" s="365">
        <x:v>38.67</x:v>
      </x:c>
      <x:c r="J31" s="366">
        <x:v>0.29</x:v>
      </x:c>
      <x:c r="K31" s="367">
        <x:v>0.26</x:v>
      </x:c>
      <x:c r="L31" s="368">
        <x:v>0</x:v>
      </x:c>
      <x:c r="M31" s="363" t="s">
        <x:v>1492</x:v>
      </x:c>
      <x:c r="N31" s="369"/>
      <x:c r="O31" s="369"/>
      <x:c r="P31" s="370"/>
      <x:c r="Q31" s="371"/>
      <x:c r="R31" s="371"/>
      <x:c r="S31" s="371"/>
      <x:c r="T31" s="371"/>
    </x:row>
    <x:row r="32" s="337" customFormat="1" ht="40" customHeight="1">
      <x:c r="B32" s="359">
        <x:v>23</x:v>
      </x:c>
      <x:c r="C32" s="360" t="e">
        <x:f>_xlfn.XLOOKUP(D32,商品汇总表!$B:$B,商品汇总表!$A:$A,"")</x:f>
        <x:v>#NAME?</x:v>
      </x:c>
      <x:c r="D32" s="361" t="e" cm="1">
        <x:f t="array" ref="D32">LOOKUP(1,0/((WHSU6439229!AR:AR=$D$43)*(WHSU6439229!A:A=B32)),WHSU6439229!E:E)</x:f>
        <x:v>#N/A</x:v>
      </x:c>
      <x:c r="E32" s="357" t="e">
        <x:f>_xlfn.XLOOKUP(D32,商品汇总表!$B:$B,商品汇总表!$D:$D,"")</x:f>
        <x:v>#NAME?</x:v>
      </x:c>
      <x:c r="F32" s="362" t="e" cm="1">
        <x:f t="array" ref="F32:L32">_xlfn.LET(_xlpm.数组,B32&amp;D32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32" s="363" t="str">
        <x:v>个</x:v>
      </x:c>
      <x:c r="H32" s="364">
        <x:v>17.85</x:v>
      </x:c>
      <x:c r="I32" s="365">
        <x:v>53.55</x:v>
      </x:c>
      <x:c r="J32" s="366">
        <x:v>0.31</x:v>
      </x:c>
      <x:c r="K32" s="367">
        <x:v>0.28</x:v>
      </x:c>
      <x:c r="L32" s="368">
        <x:v>0</x:v>
      </x:c>
      <x:c r="M32" s="363" t="s">
        <x:v>1492</x:v>
      </x:c>
      <x:c r="N32" s="369"/>
      <x:c r="O32" s="369"/>
      <x:c r="P32" s="370"/>
      <x:c r="Q32" s="371"/>
      <x:c r="R32" s="371"/>
      <x:c r="S32" s="371"/>
      <x:c r="T32" s="371"/>
    </x:row>
    <x:row r="33" s="337" customFormat="1" ht="40" customHeight="1">
      <x:c r="B33" s="359">
        <x:v>24</x:v>
      </x:c>
      <x:c r="C33" s="360" t="e">
        <x:f>_xlfn.XLOOKUP(D33,商品汇总表!$B:$B,商品汇总表!$A:$A,"")</x:f>
        <x:v>#NAME?</x:v>
      </x:c>
      <x:c r="D33" s="361" t="e" cm="1">
        <x:f t="array" ref="D33">LOOKUP(1,0/((WHSU6439229!AR:AR=$D$43)*(WHSU6439229!A:A=B33)),WHSU6439229!E:E)</x:f>
        <x:v>#N/A</x:v>
      </x:c>
      <x:c r="E33" s="357" t="e">
        <x:f>_xlfn.XLOOKUP(D33,商品汇总表!$B:$B,商品汇总表!$D:$D,"")</x:f>
        <x:v>#NAME?</x:v>
      </x:c>
      <x:c r="F33" s="362" t="e" cm="1">
        <x:f t="array" ref="F33:L33">_xlfn.LET(_xlpm.数组,B33&amp;D33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33" s="363" t="str">
        <x:v>个</x:v>
      </x:c>
      <x:c r="H33" s="364">
        <x:v>32.96</x:v>
      </x:c>
      <x:c r="I33" s="365">
        <x:v>98.88</x:v>
      </x:c>
      <x:c r="J33" s="366">
        <x:v>0.35</x:v>
      </x:c>
      <x:c r="K33" s="367">
        <x:v>0.32</x:v>
      </x:c>
      <x:c r="L33" s="368">
        <x:v>0</x:v>
      </x:c>
      <x:c r="M33" s="363" t="s">
        <x:v>1492</x:v>
      </x:c>
      <x:c r="N33" s="369"/>
      <x:c r="O33" s="369"/>
      <x:c r="P33" s="370"/>
      <x:c r="Q33" s="371"/>
      <x:c r="R33" s="371"/>
      <x:c r="S33" s="371"/>
      <x:c r="T33" s="371"/>
    </x:row>
    <x:row r="34" s="337" customFormat="1" ht="40" customHeight="1">
      <x:c r="B34" s="359">
        <x:v>25</x:v>
      </x:c>
      <x:c r="C34" s="360" t="e">
        <x:f>_xlfn.XLOOKUP(D34,商品汇总表!$B:$B,商品汇总表!$A:$A,"")</x:f>
        <x:v>#NAME?</x:v>
      </x:c>
      <x:c r="D34" s="361" t="e" cm="1">
        <x:f t="array" ref="D34">LOOKUP(1,0/((WHSU6439229!AR:AR=$D$43)*(WHSU6439229!A:A=B34)),WHSU6439229!E:E)</x:f>
        <x:v>#N/A</x:v>
      </x:c>
      <x:c r="E34" s="357" t="e">
        <x:f>_xlfn.XLOOKUP(D34,商品汇总表!$B:$B,商品汇总表!$D:$D,"")</x:f>
        <x:v>#NAME?</x:v>
      </x:c>
      <x:c r="F34" s="362" t="e" cm="1">
        <x:f t="array" ref="F34:L34">_xlfn.LET(_xlpm.数组,B34&amp;D34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34" s="363" t="str">
        <x:v>个</x:v>
      </x:c>
      <x:c r="H34" s="364">
        <x:v>6.96</x:v>
      </x:c>
      <x:c r="I34" s="365">
        <x:v>20.88</x:v>
      </x:c>
      <x:c r="J34" s="366">
        <x:v>0.23</x:v>
      </x:c>
      <x:c r="K34" s="367">
        <x:v>0.2</x:v>
      </x:c>
      <x:c r="L34" s="368">
        <x:v>0</x:v>
      </x:c>
      <x:c r="M34" s="363" t="s">
        <x:v>1492</x:v>
      </x:c>
      <x:c r="N34" s="369"/>
      <x:c r="O34" s="369"/>
      <x:c r="P34" s="370"/>
      <x:c r="Q34" s="371"/>
      <x:c r="R34" s="371"/>
      <x:c r="S34" s="371"/>
      <x:c r="T34" s="371"/>
    </x:row>
    <x:row r="35" s="337" customFormat="1" ht="40" customHeight="1">
      <x:c r="B35" s="359">
        <x:v>26</x:v>
      </x:c>
      <x:c r="C35" s="360" t="e">
        <x:f>_xlfn.XLOOKUP(D35,商品汇总表!$B:$B,商品汇总表!$A:$A,"")</x:f>
        <x:v>#NAME?</x:v>
      </x:c>
      <x:c r="D35" s="361" t="e" cm="1">
        <x:f t="array" ref="D35">LOOKUP(1,0/((WHSU6439229!AR:AR=$D$43)*(WHSU6439229!A:A=B35)),WHSU6439229!E:E)</x:f>
        <x:v>#N/A</x:v>
      </x:c>
      <x:c r="E35" s="357" t="e">
        <x:f>_xlfn.XLOOKUP(D35,商品汇总表!$B:$B,商品汇总表!$D:$D,"")</x:f>
        <x:v>#NAME?</x:v>
      </x:c>
      <x:c r="F35" s="362" t="e" cm="1">
        <x:f t="array" ref="F35:L35">_xlfn.LET(_xlpm.数组,B35&amp;D35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35" s="363" t="str">
        <x:v>个</x:v>
      </x:c>
      <x:c r="H35" s="364">
        <x:v>6.96</x:v>
      </x:c>
      <x:c r="I35" s="365">
        <x:v>20.88</x:v>
      </x:c>
      <x:c r="J35" s="366">
        <x:v>0.26</x:v>
      </x:c>
      <x:c r="K35" s="367">
        <x:v>0.23</x:v>
      </x:c>
      <x:c r="L35" s="368">
        <x:v>0</x:v>
      </x:c>
      <x:c r="M35" s="363" t="s">
        <x:v>1492</x:v>
      </x:c>
      <x:c r="N35" s="369"/>
      <x:c r="O35" s="369"/>
      <x:c r="P35" s="370"/>
      <x:c r="Q35" s="371"/>
      <x:c r="R35" s="371"/>
      <x:c r="S35" s="371"/>
      <x:c r="T35" s="371"/>
    </x:row>
    <x:row r="36" s="337" customFormat="1" ht="40" customHeight="1">
      <x:c r="B36" s="359">
        <x:v>27</x:v>
      </x:c>
      <x:c r="C36" s="360" t="e">
        <x:f>_xlfn.XLOOKUP(D36,商品汇总表!$B:$B,商品汇总表!$A:$A,"")</x:f>
        <x:v>#NAME?</x:v>
      </x:c>
      <x:c r="D36" s="361" t="e" cm="1">
        <x:f t="array" ref="D36">LOOKUP(1,0/((WHSU6439229!AR:AR=$D$43)*(WHSU6439229!A:A=B36)),WHSU6439229!E:E)</x:f>
        <x:v>#N/A</x:v>
      </x:c>
      <x:c r="E36" s="357" t="e">
        <x:f>_xlfn.XLOOKUP(D36,商品汇总表!$B:$B,商品汇总表!$D:$D,"")</x:f>
        <x:v>#NAME?</x:v>
      </x:c>
      <x:c r="F36" s="362" t="e" cm="1">
        <x:f t="array" ref="F36:L36">_xlfn.LET(_xlpm.数组,B36&amp;D36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36" s="363" t="str">
        <x:v>个</x:v>
      </x:c>
      <x:c r="H36" s="364">
        <x:v>7.66</x:v>
      </x:c>
      <x:c r="I36" s="365">
        <x:v>22.98</x:v>
      </x:c>
      <x:c r="J36" s="366">
        <x:v>0.27</x:v>
      </x:c>
      <x:c r="K36" s="367">
        <x:v>0.24</x:v>
      </x:c>
      <x:c r="L36" s="368">
        <x:v>0</x:v>
      </x:c>
      <x:c r="M36" s="363" t="s">
        <x:v>1492</x:v>
      </x:c>
      <x:c r="N36" s="369"/>
      <x:c r="O36" s="369"/>
      <x:c r="P36" s="370"/>
      <x:c r="Q36" s="371"/>
      <x:c r="R36" s="371"/>
      <x:c r="S36" s="371"/>
      <x:c r="T36" s="371"/>
    </x:row>
    <x:row r="37" s="337" customFormat="1" ht="40" customHeight="1">
      <x:c r="B37" s="359">
        <x:v>28</x:v>
      </x:c>
      <x:c r="C37" s="360" t="e">
        <x:f>_xlfn.XLOOKUP(D37,商品汇总表!$B:$B,商品汇总表!$A:$A,"")</x:f>
        <x:v>#NAME?</x:v>
      </x:c>
      <x:c r="D37" s="361" t="e" cm="1">
        <x:f t="array" ref="D37">LOOKUP(1,0/((WHSU6439229!AR:AR=$D$43)*(WHSU6439229!A:A=B37)),WHSU6439229!E:E)</x:f>
        <x:v>#N/A</x:v>
      </x:c>
      <x:c r="E37" s="357" t="e">
        <x:f>_xlfn.XLOOKUP(D37,商品汇总表!$B:$B,商品汇总表!$D:$D,"")</x:f>
        <x:v>#NAME?</x:v>
      </x:c>
      <x:c r="F37" s="362" t="e" cm="1">
        <x:f t="array" ref="F37:L37">_xlfn.LET(_xlpm.数组,B37&amp;D37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37" s="363" t="str">
        <x:v>个</x:v>
      </x:c>
      <x:c r="H37" s="364">
        <x:v>8.38</x:v>
      </x:c>
      <x:c r="I37" s="365">
        <x:v>25.14</x:v>
      </x:c>
      <x:c r="J37" s="366">
        <x:v>0.28</x:v>
      </x:c>
      <x:c r="K37" s="367">
        <x:v>0.25</x:v>
      </x:c>
      <x:c r="L37" s="368">
        <x:v>0</x:v>
      </x:c>
      <x:c r="M37" s="363" t="s">
        <x:v>1492</x:v>
      </x:c>
      <x:c r="N37" s="369"/>
      <x:c r="O37" s="369"/>
      <x:c r="P37" s="370"/>
      <x:c r="Q37" s="371"/>
      <x:c r="R37" s="371"/>
      <x:c r="S37" s="371"/>
      <x:c r="T37" s="371"/>
    </x:row>
    <x:row r="38" s="337" customFormat="1" ht="40" customHeight="1">
      <x:c r="B38" s="359">
        <x:v>29</x:v>
      </x:c>
      <x:c r="C38" s="360" t="e">
        <x:f>_xlfn.XLOOKUP(D38,商品汇总表!$B:$B,商品汇总表!$A:$A,"")</x:f>
        <x:v>#NAME?</x:v>
      </x:c>
      <x:c r="D38" s="361" t="e" cm="1">
        <x:f t="array" ref="D38">LOOKUP(1,0/((WHSU6439229!AR:AR=$D$43)*(WHSU6439229!A:A=B38)),WHSU6439229!E:E)</x:f>
        <x:v>#N/A</x:v>
      </x:c>
      <x:c r="E38" s="357" t="e">
        <x:f>_xlfn.XLOOKUP(D38,商品汇总表!$B:$B,商品汇总表!$D:$D,"")</x:f>
        <x:v>#NAME?</x:v>
      </x:c>
      <x:c r="F38" s="362" t="e" cm="1">
        <x:f t="array" ref="F38:L38">_xlfn.LET(_xlpm.数组,B38&amp;D38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38" s="363" t="str">
        <x:v>个</x:v>
      </x:c>
      <x:c r="H38" s="364">
        <x:v>14.12</x:v>
      </x:c>
      <x:c r="I38" s="365">
        <x:v>42.36</x:v>
      </x:c>
      <x:c r="J38" s="366">
        <x:v>0.31</x:v>
      </x:c>
      <x:c r="K38" s="367">
        <x:v>0.28</x:v>
      </x:c>
      <x:c r="L38" s="368">
        <x:v>0</x:v>
      </x:c>
      <x:c r="M38" s="363" t="s">
        <x:v>1492</x:v>
      </x:c>
      <x:c r="N38" s="369"/>
      <x:c r="O38" s="369"/>
      <x:c r="P38" s="370"/>
      <x:c r="Q38" s="371"/>
      <x:c r="R38" s="371"/>
      <x:c r="S38" s="371"/>
      <x:c r="T38" s="371"/>
    </x:row>
    <x:row r="39" s="337" customFormat="1" ht="40" customHeight="1">
      <x:c r="B39" s="359">
        <x:v>30</x:v>
      </x:c>
      <x:c r="C39" s="360" t="e">
        <x:f>_xlfn.XLOOKUP(D39,商品汇总表!$B:$B,商品汇总表!$A:$A,"")</x:f>
        <x:v>#NAME?</x:v>
      </x:c>
      <x:c r="D39" s="361" t="e" cm="1">
        <x:f t="array" ref="D39">LOOKUP(1,0/((WHSU6439229!AR:AR=$D$43)*(WHSU6439229!A:A=B39)),WHSU6439229!E:E)</x:f>
        <x:v>#N/A</x:v>
      </x:c>
      <x:c r="E39" s="357" t="e">
        <x:f>_xlfn.XLOOKUP(D39,商品汇总表!$B:$B,商品汇总表!$D:$D,"")</x:f>
        <x:v>#NAME?</x:v>
      </x:c>
      <x:c r="F39" s="362" t="e" cm="1">
        <x:f t="array" ref="F39:L39">_xlfn.LET(_xlpm.数组,B39&amp;D39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39" s="363" t="str">
        <x:v>个</x:v>
      </x:c>
      <x:c r="H39" s="364">
        <x:v>17.32</x:v>
      </x:c>
      <x:c r="I39" s="365">
        <x:v>51.96</x:v>
      </x:c>
      <x:c r="J39" s="366">
        <x:v>0.31</x:v>
      </x:c>
      <x:c r="K39" s="367">
        <x:v>0.28</x:v>
      </x:c>
      <x:c r="L39" s="368">
        <x:v>0</x:v>
      </x:c>
      <x:c r="M39" s="363" t="s">
        <x:v>1492</x:v>
      </x:c>
      <x:c r="N39" s="369"/>
      <x:c r="O39" s="369"/>
      <x:c r="P39" s="370"/>
      <x:c r="Q39" s="371"/>
      <x:c r="R39" s="371"/>
      <x:c r="S39" s="371"/>
      <x:c r="T39" s="371"/>
    </x:row>
    <x:row r="40" s="337" customFormat="1" ht="40" customHeight="1">
      <x:c r="B40" s="359">
        <x:v>31</x:v>
      </x:c>
      <x:c r="C40" s="360" t="e">
        <x:f>_xlfn.XLOOKUP(D40,商品汇总表!$B:$B,商品汇总表!$A:$A,"")</x:f>
        <x:v>#NAME?</x:v>
      </x:c>
      <x:c r="D40" s="361" t="e" cm="1">
        <x:f t="array" ref="D40">LOOKUP(1,0/((WHSU6439229!AR:AR=$D$43)*(WHSU6439229!A:A=B40)),WHSU6439229!E:E)</x:f>
        <x:v>#N/A</x:v>
      </x:c>
      <x:c r="E40" s="357" t="e">
        <x:f>_xlfn.XLOOKUP(D40,商品汇总表!$B:$B,商品汇总表!$D:$D,"")</x:f>
        <x:v>#NAME?</x:v>
      </x:c>
      <x:c r="F40" s="362" t="e" cm="1">
        <x:f t="array" ref="F40:L40">_xlfn.LET(_xlpm.数组,B40&amp;D40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40" s="363" t="str">
        <x:v>个</x:v>
      </x:c>
      <x:c r="H40" s="364">
        <x:v>24.58</x:v>
      </x:c>
      <x:c r="I40" s="365">
        <x:v>73.74</x:v>
      </x:c>
      <x:c r="J40" s="366">
        <x:v>0.34</x:v>
      </x:c>
      <x:c r="K40" s="367">
        <x:v>0.31</x:v>
      </x:c>
      <x:c r="L40" s="368">
        <x:v>0</x:v>
      </x:c>
      <x:c r="M40" s="363" t="s">
        <x:v>1492</x:v>
      </x:c>
      <x:c r="N40" s="369"/>
      <x:c r="O40" s="369"/>
      <x:c r="P40" s="370"/>
      <x:c r="Q40" s="371"/>
      <x:c r="R40" s="371"/>
      <x:c r="S40" s="371"/>
      <x:c r="T40" s="371"/>
    </x:row>
    <x:row r="41" s="337" customFormat="1" ht="40" customHeight="1">
      <x:c r="B41" s="359">
        <x:v>32</x:v>
      </x:c>
      <x:c r="C41" s="360" t="e">
        <x:f>_xlfn.XLOOKUP(D41,商品汇总表!$B:$B,商品汇总表!$A:$A,"")</x:f>
        <x:v>#NAME?</x:v>
      </x:c>
      <x:c r="D41" s="361" t="e" cm="1">
        <x:f t="array" ref="D41">LOOKUP(1,0/((WHSU6439229!AR:AR=$D$43)*(WHSU6439229!A:A=B41)),WHSU6439229!E:E)</x:f>
        <x:v>#N/A</x:v>
      </x:c>
      <x:c r="E41" s="357" t="e">
        <x:f>_xlfn.XLOOKUP(D41,商品汇总表!$B:$B,商品汇总表!$D:$D,"")</x:f>
        <x:v>#NAME?</x:v>
      </x:c>
      <x:c r="F41" s="362" t="e" cm="1">
        <x:f t="array" ref="F41:L41">_xlfn.LET(_xlpm.数组,B41&amp;D41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41" s="363" t="str">
        <x:v>个</x:v>
      </x:c>
      <x:c r="H41" s="364">
        <x:v>29.85</x:v>
      </x:c>
      <x:c r="I41" s="365">
        <x:v>89.55</x:v>
      </x:c>
      <x:c r="J41" s="366">
        <x:v>0.34</x:v>
      </x:c>
      <x:c r="K41" s="367">
        <x:v>0.31</x:v>
      </x:c>
      <x:c r="L41" s="368">
        <x:v>0</x:v>
      </x:c>
      <x:c r="M41" s="363" t="s">
        <x:v>1492</x:v>
      </x:c>
      <x:c r="N41" s="369"/>
      <x:c r="O41" s="369"/>
      <x:c r="P41" s="370"/>
      <x:c r="Q41" s="371"/>
      <x:c r="R41" s="371"/>
      <x:c r="S41" s="371"/>
      <x:c r="T41" s="371"/>
    </x:row>
    <x:row r="42" s="337" customFormat="1" ht="40" customHeight="1">
      <x:c r="B42" s="359">
        <x:v>33</x:v>
      </x:c>
      <x:c r="C42" s="360" t="e">
        <x:f>_xlfn.XLOOKUP(D42,商品汇总表!$B:$B,商品汇总表!$A:$A,"")</x:f>
        <x:v>#NAME?</x:v>
      </x:c>
      <x:c r="D42" s="361" t="e" cm="1">
        <x:f t="array" ref="D42">LOOKUP(1,0/((WHSU6439229!AR:AR=$D$43)*(WHSU6439229!A:A=B42)),WHSU6439229!E:E)</x:f>
        <x:v>#N/A</x:v>
      </x:c>
      <x:c r="E42" s="357" t="e">
        <x:f>_xlfn.XLOOKUP(D42,商品汇总表!$B:$B,商品汇总表!$D:$D,"")</x:f>
        <x:v>#NAME?</x:v>
      </x:c>
      <x:c r="F42" s="362" t="e" cm="1">
        <x:f t="array" ref="F42:L42">_xlfn.LET(_xlpm.数组,B42&amp;D42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42" s="363" t="str">
        <x:v>个</x:v>
      </x:c>
      <x:c r="H42" s="364">
        <x:v>36.72</x:v>
      </x:c>
      <x:c r="I42" s="365">
        <x:v>110.16</x:v>
      </x:c>
      <x:c r="J42" s="366">
        <x:v>0.37</x:v>
      </x:c>
      <x:c r="K42" s="367">
        <x:v>0.32</x:v>
      </x:c>
      <x:c r="L42" s="368">
        <x:v>0</x:v>
      </x:c>
      <x:c r="M42" s="363" t="s">
        <x:v>1492</x:v>
      </x:c>
      <x:c r="N42" s="369"/>
      <x:c r="O42" s="369"/>
      <x:c r="P42" s="370"/>
      <x:c r="Q42" s="371"/>
      <x:c r="R42" s="371"/>
      <x:c r="S42" s="371"/>
      <x:c r="T42" s="371"/>
    </x:row>
    <x:row r="43" s="337" customFormat="1" ht="40" customHeight="1">
      <x:c r="B43" s="372"/>
      <x:c r="C43" s="373"/>
      <x:c r="D43" s="374" t="s">
        <x:v>180</x:v>
      </x:c>
      <x:c r="E43" s="374"/>
      <x:c r="F43" s="375" t="e">
        <x:f>SUM(F25:F42)</x:f>
        <x:v>#NAME?</x:v>
      </x:c>
      <x:c r="G43" s="376"/>
      <x:c r="H43" s="377"/>
      <x:c r="I43" s="375" t="n">
        <x:f>SUM(I25:I42)</x:f>
        <x:v>12165.929999999995</x:v>
      </x:c>
      <x:c r="J43" s="375" t="n">
        <x:f t="shared" ref="J43:L43" si="0">SUM(J25:J42)</x:f>
        <x:v>5758.870000000003</x:v>
      </x:c>
      <x:c r="K43" s="375">
        <x:f t="shared" si="0"/>
        <x:v>5758.1</x:v>
      </x:c>
      <x:c r="L43" s="375">
        <x:f t="shared" si="0"/>
        <x:v>3</x:v>
      </x:c>
      <x:c r="M43" s="375"/>
      <x:c r="N43" s="369"/>
      <x:c r="O43" s="369"/>
      <x:c r="P43" s="370"/>
      <x:c r="Q43" s="371"/>
      <x:c r="R43" s="371"/>
      <x:c r="S43" s="371"/>
      <x:c r="T43" s="371"/>
    </x:row>
    <x:row r="44" s="337" customFormat="1" ht="40" customHeight="1">
      <x:c r="B44" s="359">
        <x:v>34</x:v>
      </x:c>
      <x:c r="C44" s="360" t="e">
        <x:f>_xlfn.XLOOKUP(D44,[2]商品汇总表!$B:$B,[2]商品汇总表!$A:$A,"")</x:f>
        <x:v>#NAME?</x:v>
      </x:c>
      <x:c r="D44" s="361" t="e" cm="1">
        <x:f t="array" ref="D44">LOOKUP(1,0/((WHSU6439229!AR:AR=$D$45)*(WHSU6439229!A:A=B44)),WHSU6439229!E:E)</x:f>
        <x:v>#N/A</x:v>
      </x:c>
      <x:c r="E44" s="357" t="e">
        <x:f>_xlfn.XLOOKUP(D44,[2]商品汇总表!$B:$B,[2]商品汇总表!$D:$D,"")</x:f>
        <x:v>#NAME?</x:v>
      </x:c>
      <x:c r="F44" s="362" t="e" cm="1">
        <x:f t="array" ref="F44:L44">_xlfn.LET(_xlpm.数组,B44&amp;D44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44" s="363" t="str">
        <x:v>千克</x:v>
      </x:c>
      <x:c r="H44" s="364">
        <x:v>14.15</x:v>
      </x:c>
      <x:c r="I44" s="365">
        <x:v>2453.61</x:v>
      </x:c>
      <x:c r="J44" s="366">
        <x:v>247.33</x:v>
      </x:c>
      <x:c r="K44" s="367">
        <x:v>173.4</x:v>
      </x:c>
      <x:c r="L44" s="368">
        <x:v>68</x:v>
      </x:c>
      <x:c r="M44" s="363" t="s">
        <x:v>1492</x:v>
      </x:c>
      <x:c r="N44" s="369"/>
      <x:c r="O44" s="369"/>
      <x:c r="P44" s="370"/>
      <x:c r="Q44" s="371"/>
      <x:c r="R44" s="371"/>
      <x:c r="S44" s="371"/>
      <x:c r="T44" s="371"/>
    </x:row>
    <x:row r="45" s="337" customFormat="1" ht="40" customHeight="1">
      <x:c r="B45" s="372"/>
      <x:c r="C45" s="373"/>
      <x:c r="D45" s="374" t="s">
        <x:v>125</x:v>
      </x:c>
      <x:c r="E45" s="374"/>
      <x:c r="F45" s="375" t="e">
        <x:f t="shared" ref="F45:L45" si="1">SUM(F44)</x:f>
        <x:v>#NAME?</x:v>
      </x:c>
      <x:c r="G45" s="376"/>
      <x:c r="H45" s="377"/>
      <x:c r="I45" s="375">
        <x:f t="shared" si="1"/>
        <x:v>2453.61</x:v>
      </x:c>
      <x:c r="J45" s="375">
        <x:f t="shared" si="1"/>
        <x:v>247.33</x:v>
      </x:c>
      <x:c r="K45" s="375">
        <x:f t="shared" si="1"/>
        <x:v>173.4</x:v>
      </x:c>
      <x:c r="L45" s="375">
        <x:f t="shared" si="1"/>
        <x:v>68</x:v>
      </x:c>
      <x:c r="M45" s="375"/>
      <x:c r="N45" s="369"/>
      <x:c r="O45" s="369"/>
      <x:c r="P45" s="370"/>
      <x:c r="Q45" s="371"/>
      <x:c r="R45" s="371"/>
      <x:c r="S45" s="371"/>
      <x:c r="T45" s="371"/>
    </x:row>
    <x:row r="46" s="337" customFormat="1" ht="40" customHeight="1">
      <x:c r="B46" s="359">
        <x:v>35</x:v>
      </x:c>
      <x:c r="C46" s="360" t="e">
        <x:f>_xlfn.XLOOKUP(D46,[2]商品汇总表!$B:$B,[2]商品汇总表!$A:$A,"")</x:f>
        <x:v>#NAME?</x:v>
      </x:c>
      <x:c r="D46" s="361" t="e" cm="1">
        <x:f t="array" ref="D46">LOOKUP(1,0/((WHSU6439229!AR:AR=$D$47)*(WHSU6439229!A:A=B46)),WHSU6439229!E:E)</x:f>
        <x:v>#N/A</x:v>
      </x:c>
      <x:c r="E46" s="357" t="e">
        <x:f>_xlfn.XLOOKUP(D46,[2]商品汇总表!$B:$B,[2]商品汇总表!$D:$D,"")</x:f>
        <x:v>#NAME?</x:v>
      </x:c>
      <x:c r="F46" s="362" t="e" cm="1">
        <x:f t="array" ref="F46:L46">_xlfn.LET(_xlpm.数组,B46&amp;D46,_xlpm.源数组,WHSU6439229!$A:$A&amp;WHSU6439229!$E:$E,_xlpm.原单位,_xlfn.XLOOKUP(_xlpm.数组,_xlpm.源数组,WHSU6439229!$J:$J,""),_xlfn.HSTACK(_xlfn.XLOOKUP(_xlpm.数组,_xlpm.源数组,WHSU6439229!$K:$K,""),_xlfn.XLOOKUP(_xlpm.原单位,单位对照!$A:$A,单位对照!$B:$B,_xlpm.原单位),_xlfn.XLOOKUP(_xlpm.数组,_xlpm.源数组,WHSU6439229!$Z:$Z,""),_xlfn.XLOOKUP(_xlpm.数组,_xlpm.源数组,WHSU6439229!$AA:$AA,""),_xlfn.XLOOKUP(_xlpm.数组,_xlpm.源数组,WHSU6439229!$P:$P,""),_xlfn.XLOOKUP(_xlpm.数组,_xlpm.源数组,WHSU6439229!$Q:$Q,""),_xlfn.XLOOKUP(_xlpm.数组,_xlpm.源数组,WHSU6439229!$AT:$AT,"")))</x:f>
        <x:v>#NAME?</x:v>
      </x:c>
      <x:c r="G46" s="363" t="str">
        <x:v>个</x:v>
      </x:c>
      <x:c r="H46" s="364">
        <x:v>0.4011</x:v>
      </x:c>
      <x:c r="I46" s="365">
        <x:v>1925.28</x:v>
      </x:c>
      <x:c r="J46" s="366">
        <x:v>416.8</x:v>
      </x:c>
      <x:c r="K46" s="367">
        <x:v>406.94</x:v>
      </x:c>
      <x:c r="L46" s="368">
        <x:v>20</x:v>
      </x:c>
      <x:c r="M46" s="363" t="s">
        <x:v>1492</x:v>
      </x:c>
      <x:c r="N46" s="369"/>
      <x:c r="O46" s="369"/>
      <x:c r="P46" s="370"/>
      <x:c r="Q46" s="371"/>
      <x:c r="R46" s="371"/>
      <x:c r="S46" s="371"/>
      <x:c r="T46" s="371"/>
    </x:row>
    <x:row r="47" s="337" customFormat="1" ht="40" customHeight="1">
      <x:c r="B47" s="372"/>
      <x:c r="C47" s="373"/>
      <x:c r="D47" s="374" t="s">
        <x:v>1493</x:v>
      </x:c>
      <x:c r="E47" s="374"/>
      <x:c r="F47" s="375" t="e">
        <x:f t="shared" ref="F47:L47" si="2">SUM(F46)</x:f>
        <x:v>#NAME?</x:v>
      </x:c>
      <x:c r="G47" s="376"/>
      <x:c r="H47" s="377"/>
      <x:c r="I47" s="375">
        <x:f t="shared" si="2"/>
        <x:v>1925.28</x:v>
      </x:c>
      <x:c r="J47" s="375">
        <x:f t="shared" si="2"/>
        <x:v>416.8</x:v>
      </x:c>
      <x:c r="K47" s="375">
        <x:f t="shared" si="2"/>
        <x:v>406.94</x:v>
      </x:c>
      <x:c r="L47" s="375">
        <x:f t="shared" si="2"/>
        <x:v>20</x:v>
      </x:c>
      <x:c r="M47" s="375"/>
      <x:c r="N47" s="369"/>
      <x:c r="O47" s="369"/>
      <x:c r="P47" s="370"/>
      <x:c r="Q47" s="371"/>
      <x:c r="R47" s="371"/>
      <x:c r="S47" s="371"/>
      <x:c r="T47" s="371"/>
    </x:row>
    <x:row r="48" s="338" customFormat="1" ht="29.25" customHeight="1">
      <x:c r="B48" s="378"/>
      <x:c r="C48" s="379"/>
      <x:c r="D48" s="380"/>
      <x:c r="E48" s="381" t="s">
        <x:v>1494</x:v>
      </x:c>
      <x:c r="F48" s="375"/>
      <x:c r="G48" s="376"/>
      <x:c r="H48" s="382"/>
      <x:c r="I48" s="375" t="n">
        <x:f t="shared" ref="I48:L48" si="3">I24+I43+I45+I47</x:f>
        <x:v>124561.89</x:v>
      </x:c>
      <x:c r="J48" s="375">
        <x:f t="shared" si="3"/>
        <x:v>13500</x:v>
      </x:c>
      <x:c r="K48" s="375">
        <x:f t="shared" si="3"/>
        <x:v>12828.44</x:v>
      </x:c>
      <x:c r="L48" s="375">
        <x:f t="shared" si="3"/>
        <x:v>106</x:v>
      </x:c>
      <x:c r="M48" s="383"/>
      <x:c r="N48" s="384"/>
      <x:c r="O48" s="384"/>
      <x:c r="P48" s="385"/>
      <x:c r="Q48" s="371"/>
      <x:c r="R48" s="371"/>
      <x:c r="S48" s="371"/>
      <x:c r="T48" s="371"/>
    </x:row>
    <x:row r="49" ht="77" customHeight="1"/>
    <x:row r="50" ht="14.25">
      <x:c r="F50" s="386" t="s">
        <x:v>1495</x:v>
      </x:c>
      <x:c r="G50" s="387"/>
      <x:c r="H50" s="387"/>
      <x:c r="I50" s="388"/>
    </x:row>
    <x:row r="55" ht="16" customHeight="1"/>
    <x:row r="56" ht="13.5" hidden="1"/>
    <x:row r="57" ht="13.5" hidden="1"/>
    <x:row r="58" ht="13.5" hidden="1"/>
  </x:sheetData>
  <x:mergeCells>
    <x:mergeCell ref="B1:I1"/>
    <x:mergeCell ref="B2:I2"/>
    <x:mergeCell ref="B3:H3"/>
    <x:mergeCell ref="J3:K3"/>
    <x:mergeCell ref="H5:I5"/>
    <x:mergeCell ref="F50:H50"/>
    <x:mergeCell ref="B7:B8"/>
    <x:mergeCell ref="C7:C8"/>
    <x:mergeCell ref="D7:D8"/>
    <x:mergeCell ref="E7:E8"/>
    <x:mergeCell ref="F7:F8"/>
    <x:mergeCell ref="G7:G8"/>
    <x:mergeCell ref="H7:H8"/>
    <x:mergeCell ref="I7:I8"/>
  </x:mergeCells>
  <x:pageMargins left="0.7" right="0.7" top="0.75" bottom="0.75" header="0.3" footer="0.3"/>
  <x:drawing xmlns:r="http://schemas.openxmlformats.org/officeDocument/2006/relationships" r:id="R0aa5b8b539db4c10"/>
</x:worksheet>
</file>

<file path=xl/worksheets/sheet10.xml><?xml version="1.0" encoding="utf-8"?>
<x:worksheet xmlns:x="http://schemas.openxmlformats.org/spreadsheetml/2006/main">
  <x:sheetFormatPr defaultColWidth="9.816666603088379" defaultRowHeight="12"/>
  <x:cols>
    <x:col min="1" max="1" width="9.141666412353516" style="238" customWidth="1"/>
    <x:col min="2" max="2" width="16.266666412353516" style="238" customWidth="1"/>
    <x:col min="3" max="3" width="18.266666412353516" style="238" customWidth="1"/>
    <x:col min="4" max="4" width="38.33333206176758" style="238" customWidth="1"/>
    <x:col min="5" max="5" width="9.816666603088379" style="238" customWidth="1"/>
    <x:col min="6" max="6" width="6.949999809265137" style="238" customWidth="1"/>
    <x:col min="7" max="8" width="9.774999618530273" style="238" customWidth="1"/>
    <x:col min="9" max="9" width="8.316666603088379" style="239" customWidth="1"/>
    <x:col min="10" max="10" width="5.858333110809326" style="238" customWidth="1"/>
    <x:col min="11" max="11" width="16.09166717529297" style="238" customWidth="1"/>
    <x:col min="12" max="12" width="21.266666412353516" style="238" customWidth="1"/>
    <x:col min="13" max="16382" width="9.816666603088379" style="238" customWidth="1"/>
    <x:col min="16383" max="16384" width="9.816666603088379" style="238" customWidth="0"/>
  </x:cols>
  <x:sheetData>
    <x:row r="1" ht="22.5" customHeight="1">
      <x:c r="A1" s="240" t="s">
        <x:v>1496</x:v>
      </x:c>
      <x:c r="B1" s="240"/>
      <x:c r="C1" s="240"/>
      <x:c r="D1" s="240"/>
      <x:c r="E1" s="240"/>
      <x:c r="F1" s="240"/>
      <x:c r="G1" s="240"/>
      <x:c r="H1" s="240"/>
      <x:c r="I1" s="241"/>
      <x:c r="J1" s="240"/>
    </x:row>
    <x:row r="2" ht="16.5" customHeight="1">
      <x:c r="A2" s="242" t="s">
        <x:v>1497</x:v>
      </x:c>
      <x:c r="B2" s="242"/>
      <x:c r="C2" s="242"/>
      <x:c r="D2" s="242"/>
      <x:c r="E2" s="242"/>
      <x:c r="F2" s="242"/>
      <x:c r="G2" s="242"/>
      <x:c r="H2" s="242"/>
      <x:c r="I2" s="243"/>
      <x:c r="J2" s="242"/>
    </x:row>
    <x:row r="3" ht="11.25" customHeight="1">
      <x:c r="A3" s="244"/>
      <x:c r="B3" s="244"/>
      <x:c r="C3" s="244"/>
      <x:c r="D3" s="244"/>
      <x:c r="E3" s="244"/>
      <x:c r="F3" s="244"/>
      <x:c r="G3" s="244"/>
      <x:c r="H3" s="244"/>
      <x:c r="I3" s="245"/>
      <x:c r="J3" s="244"/>
    </x:row>
    <x:row r="4" ht="12.75" customHeight="1">
      <x:c r="A4" s="246" t="s">
        <x:v>1498</x:v>
      </x:c>
      <x:c r="B4" s="247" t="s">
        <x:v>84</x:v>
      </x:c>
      <x:c r="C4" s="248"/>
      <x:c r="D4" s="248"/>
      <x:c r="E4" s="248"/>
      <x:c r="F4" s="249"/>
      <x:c r="G4" s="250" t="s">
        <x:v>1499</x:v>
      </x:c>
      <x:c r="H4" s="251"/>
      <x:c r="I4" s="252" t="e">
        <x:f>发票!D5</x:f>
        <x:v>#NAME?</x:v>
      </x:c>
      <x:c r="J4" s="251"/>
    </x:row>
    <x:row r="5" ht="12.75" customHeight="1">
      <x:c r="A5" s="253" t="s">
        <x:v>1500</x:v>
      </x:c>
      <x:c r="B5" s="254"/>
      <x:c r="C5" s="254"/>
      <x:c r="D5" s="254"/>
      <x:c r="E5" s="254"/>
      <x:c r="F5" s="255"/>
      <x:c r="G5" s="256"/>
      <x:c r="H5" s="257"/>
      <x:c r="I5" s="258"/>
      <x:c r="J5" s="257"/>
    </x:row>
    <x:row r="6" ht="27" customHeight="1">
      <x:c r="A6" s="253"/>
      <x:c r="B6" s="254" t="s">
        <x:v>1501</x:v>
      </x:c>
      <x:c r="C6" s="254"/>
      <x:c r="D6" s="254"/>
      <x:c r="E6" s="254"/>
      <x:c r="F6" s="255"/>
      <x:c r="G6" s="259" t="s">
        <x:v>1502</x:v>
      </x:c>
      <x:c r="H6" s="260"/>
      <x:c r="I6" s="261" t="e">
        <x:f>发票!H5</x:f>
        <x:v>#NAME?</x:v>
      </x:c>
      <x:c r="J6" s="260"/>
    </x:row>
    <x:row r="7" ht="35.25" customHeight="1">
      <x:c r="A7" s="262"/>
      <x:c r="B7" s="263"/>
      <x:c r="C7" s="264"/>
      <x:c r="D7" s="264"/>
      <x:c r="E7" s="264"/>
      <x:c r="F7" s="265"/>
      <x:c r="G7" s="256"/>
      <x:c r="H7" s="257"/>
      <x:c r="I7" s="258"/>
      <x:c r="J7" s="257"/>
    </x:row>
    <x:row r="8" ht="15.75" customHeight="1">
      <x:c r="A8" s="246" t="s">
        <x:v>1503</x:v>
      </x:c>
      <x:c r="B8" s="266" t="s">
        <x:v>1504</x:v>
      </x:c>
      <x:c r="C8" s="248"/>
      <x:c r="D8" s="248"/>
      <x:c r="E8" s="248"/>
      <x:c r="F8" s="249"/>
      <x:c r="G8" s="267"/>
      <x:c r="H8" s="248"/>
      <x:c r="I8" s="268"/>
      <x:c r="J8" s="249"/>
    </x:row>
    <x:row r="9" ht="15.75" customHeight="1">
      <x:c r="A9" s="253" t="s">
        <x:v>1505</x:v>
      </x:c>
      <x:c r="B9" s="263"/>
      <x:c r="C9" s="264"/>
      <x:c r="D9" s="264"/>
      <x:c r="E9" s="264"/>
      <x:c r="F9" s="265"/>
      <x:c r="G9" s="269"/>
      <x:c r="H9" s="264"/>
      <x:c r="I9" s="270"/>
      <x:c r="J9" s="265"/>
    </x:row>
    <x:row r="10" ht="6.75" customHeight="1">
      <x:c r="A10" s="271"/>
      <x:c r="B10" s="271"/>
      <x:c r="C10" s="271"/>
      <x:c r="D10" s="271"/>
      <x:c r="E10" s="271"/>
      <x:c r="F10" s="271"/>
      <x:c r="G10" s="271"/>
      <x:c r="H10" s="271"/>
      <x:c r="I10" s="272"/>
      <x:c r="J10" s="271"/>
    </x:row>
    <x:row r="11">
      <x:c r="A11" s="273" t="s">
        <x:v>1506</x:v>
      </x:c>
      <x:c r="B11" s="248"/>
      <x:c r="C11" s="248"/>
      <x:c r="D11" s="248"/>
      <x:c r="E11" s="248"/>
      <x:c r="F11" s="248"/>
      <x:c r="G11" s="248"/>
      <x:c r="H11" s="248"/>
      <x:c r="I11" s="268"/>
      <x:c r="J11" s="249"/>
    </x:row>
    <x:row r="12" ht="13.75" customHeight="1">
      <x:c r="A12" s="274" t="s">
        <x:v>1507</x:v>
      </x:c>
      <x:c r="B12" s="264"/>
      <x:c r="C12" s="264"/>
      <x:c r="D12" s="264"/>
      <x:c r="E12" s="264"/>
      <x:c r="F12" s="264"/>
      <x:c r="G12" s="264"/>
      <x:c r="H12" s="264"/>
      <x:c r="I12" s="270"/>
      <x:c r="J12" s="265"/>
    </x:row>
    <x:row r="13" ht="7.5" customHeight="1">
      <x:c r="A13" s="271"/>
      <x:c r="B13" s="271"/>
      <x:c r="C13" s="271"/>
      <x:c r="D13" s="271"/>
      <x:c r="E13" s="271"/>
      <x:c r="F13" s="271"/>
      <x:c r="G13" s="271"/>
      <x:c r="H13" s="271"/>
      <x:c r="I13" s="272"/>
      <x:c r="J13" s="271"/>
    </x:row>
    <x:row r="14" s="237" customFormat="1" ht="19" customHeight="1">
      <x:c r="A14" s="275" t="s">
        <x:v>1508</x:v>
      </x:c>
      <x:c r="B14" s="275" t="s">
        <x:v>1509</x:v>
      </x:c>
      <x:c r="C14" s="276" t="s">
        <x:v>1510</x:v>
      </x:c>
      <x:c r="D14" s="277"/>
      <x:c r="E14" s="276" t="s">
        <x:v>1511</x:v>
      </x:c>
      <x:c r="F14" s="276" t="s">
        <x:v>1512</x:v>
      </x:c>
      <x:c r="G14" s="276" t="s">
        <x:v>1513</x:v>
      </x:c>
      <x:c r="H14" s="277"/>
      <x:c r="I14" s="278" t="s">
        <x:v>1514</x:v>
      </x:c>
      <x:c r="J14" s="277"/>
    </x:row>
    <x:row r="15" s="237" customFormat="1" ht="30" customHeight="1">
      <x:c r="A15" s="275" t="s">
        <x:v>1515</x:v>
      </x:c>
      <x:c r="B15" s="275" t="s">
        <x:v>1515</x:v>
      </x:c>
      <x:c r="C15" s="276" t="s">
        <x:v>1516</x:v>
      </x:c>
      <x:c r="D15" s="277"/>
      <x:c r="E15" s="276" t="s">
        <x:v>1517</x:v>
      </x:c>
      <x:c r="F15" s="276" t="s">
        <x:v>1518</x:v>
      </x:c>
      <x:c r="G15" s="276" t="s">
        <x:v>1519</x:v>
      </x:c>
      <x:c r="H15" s="277"/>
      <x:c r="I15" s="278" t="s">
        <x:v>1520</x:v>
      </x:c>
      <x:c r="J15" s="277"/>
    </x:row>
    <x:row r="16" ht="25.5" customHeight="1">
      <x:c r="A16" s="279">
        <x:v>1</x:v>
      </x:c>
      <x:c r="B16" s="213" t="e" cm="1">
        <x:f t="array" ref="B16:F16">_xlfn.HSTACK(_xlfn.XLOOKUP($A16,发票!$B:$B,发票!$C:$C),_xlfn.XLOOKUP($A16,发票!$B:$B,发票!$D:$D),_xlfn.XLOOKUP($A16,发票!$B:$B,发票!$E:$E),_xlfn.XLOOKUP($A16,发票!$B:$B,发票!$F:$F),_xlfn.XLOOKUP($A16,发票!$B:$B,发票!$G:$G))</x:f>
        <x:v>#NAME?</x:v>
      </x:c>
      <x:c r="C16" s="213" t="str">
        <x:v>注塑模具1</x:v>
      </x:c>
      <x:c r="D16" s="275" t="str"/>
      <x:c r="E16" s="213">
        <x:v>1</x:v>
      </x:c>
      <x:c r="F16" s="213" t="str">
        <x:v>套</x:v>
      </x:c>
      <x:c r="G16" s="279" t="s">
        <x:v>1521</x:v>
      </x:c>
      <x:c r="H16" s="277"/>
      <x:c r="I16" s="280" t="e">
        <x:f>_xlfn.XLOOKUP($A16,发票!$B:$B,发票!I:I,"")</x:f>
        <x:v>#NAME?</x:v>
      </x:c>
      <x:c r="J16" s="277"/>
      <x:c r="L16" s="281"/>
      <x:c r="M16" s="282"/>
    </x:row>
    <x:row r="17" ht="25.5" customHeight="1">
      <x:c r="A17" s="279">
        <x:v>2</x:v>
      </x:c>
      <x:c r="B17" s="213" t="e" cm="1">
        <x:f t="array" ref="B17:F17">_xlfn.HSTACK(_xlfn.XLOOKUP($A17,发票!$B:$B,发票!$C:$C),_xlfn.XLOOKUP($A17,发票!$B:$B,发票!$D:$D),_xlfn.XLOOKUP($A17,发票!$B:$B,发票!$E:$E),_xlfn.XLOOKUP($A17,发票!$B:$B,发票!$F:$F),_xlfn.XLOOKUP($A17,发票!$B:$B,发票!$G:$G))</x:f>
        <x:v>#NAME?</x:v>
      </x:c>
      <x:c r="C17" s="213" t="str">
        <x:v>注塑模具2</x:v>
      </x:c>
      <x:c r="D17" s="275" t="str"/>
      <x:c r="E17" s="213">
        <x:v>1</x:v>
      </x:c>
      <x:c r="F17" s="213" t="str">
        <x:v>套</x:v>
      </x:c>
      <x:c r="G17" s="279" t="s">
        <x:v>1521</x:v>
      </x:c>
      <x:c r="H17" s="277"/>
      <x:c r="I17" s="280" t="e">
        <x:f>_xlfn.XLOOKUP($A17,发票!$B:$B,发票!I:I,"")</x:f>
        <x:v>#NAME?</x:v>
      </x:c>
      <x:c r="J17" s="277"/>
      <x:c r="L17" s="281"/>
      <x:c r="M17" s="282"/>
    </x:row>
    <x:row r="18" ht="25.5" customHeight="1">
      <x:c r="A18" s="279">
        <x:v>3</x:v>
      </x:c>
      <x:c r="B18" s="213" t="e" cm="1">
        <x:f t="array" ref="B18:F18">_xlfn.HSTACK(_xlfn.XLOOKUP($A18,发票!$B:$B,发票!$C:$C),_xlfn.XLOOKUP($A18,发票!$B:$B,发票!$D:$D),_xlfn.XLOOKUP($A18,发票!$B:$B,发票!$E:$E),_xlfn.XLOOKUP($A18,发票!$B:$B,发票!$F:$F),_xlfn.XLOOKUP($A18,发票!$B:$B,发票!$G:$G))</x:f>
        <x:v>#NAME?</x:v>
      </x:c>
      <x:c r="C18" s="213" t="str">
        <x:v>注塑模具3</x:v>
      </x:c>
      <x:c r="D18" s="275" t="str"/>
      <x:c r="E18" s="213">
        <x:v>1</x:v>
      </x:c>
      <x:c r="F18" s="213" t="str">
        <x:v>套</x:v>
      </x:c>
      <x:c r="G18" s="279" t="s">
        <x:v>1521</x:v>
      </x:c>
      <x:c r="H18" s="277"/>
      <x:c r="I18" s="280" t="e">
        <x:f>_xlfn.XLOOKUP($A18,发票!$B:$B,发票!I:I,"")</x:f>
        <x:v>#NAME?</x:v>
      </x:c>
      <x:c r="J18" s="277"/>
      <x:c r="L18" s="281"/>
      <x:c r="M18" s="282"/>
    </x:row>
    <x:row r="19" ht="25.5" customHeight="1">
      <x:c r="A19" s="279">
        <x:v>4</x:v>
      </x:c>
      <x:c r="B19" s="213" t="e" cm="1">
        <x:f t="array" ref="B19:F19">_xlfn.HSTACK(_xlfn.XLOOKUP($A19,发票!$B:$B,发票!$C:$C),_xlfn.XLOOKUP($A19,发票!$B:$B,发票!$D:$D),_xlfn.XLOOKUP($A19,发票!$B:$B,发票!$E:$E),_xlfn.XLOOKUP($A19,发票!$B:$B,发票!$F:$F),_xlfn.XLOOKUP($A19,发票!$B:$B,发票!$G:$G))</x:f>
        <x:v>#NAME?</x:v>
      </x:c>
      <x:c r="C19" s="213" t="str">
        <x:v>注塑模具4</x:v>
      </x:c>
      <x:c r="D19" s="275" t="str"/>
      <x:c r="E19" s="213">
        <x:v>1</x:v>
      </x:c>
      <x:c r="F19" s="213" t="str">
        <x:v>套</x:v>
      </x:c>
      <x:c r="G19" s="279" t="s">
        <x:v>1521</x:v>
      </x:c>
      <x:c r="H19" s="277"/>
      <x:c r="I19" s="280" t="e">
        <x:f>_xlfn.XLOOKUP($A19,发票!$B:$B,发票!I:I,"")</x:f>
        <x:v>#NAME?</x:v>
      </x:c>
      <x:c r="J19" s="277"/>
      <x:c r="L19" s="281"/>
      <x:c r="M19" s="282"/>
    </x:row>
    <x:row r="20" ht="25.5" customHeight="1">
      <x:c r="A20" s="279">
        <x:v>5</x:v>
      </x:c>
      <x:c r="B20" s="213" t="e" cm="1">
        <x:f t="array" ref="B20:F20">_xlfn.HSTACK(_xlfn.XLOOKUP($A20,发票!$B:$B,发票!$C:$C),_xlfn.XLOOKUP($A20,发票!$B:$B,发票!$D:$D),_xlfn.XLOOKUP($A20,发票!$B:$B,发票!$E:$E),_xlfn.XLOOKUP($A20,发票!$B:$B,发票!$F:$F),_xlfn.XLOOKUP($A20,发票!$B:$B,发票!$G:$G))</x:f>
        <x:v>#NAME?</x:v>
      </x:c>
      <x:c r="C20" s="213" t="str">
        <x:v>注塑模具5</x:v>
      </x:c>
      <x:c r="D20" s="275" t="str"/>
      <x:c r="E20" s="213">
        <x:v>1</x:v>
      </x:c>
      <x:c r="F20" s="213" t="str">
        <x:v>套</x:v>
      </x:c>
      <x:c r="G20" s="279" t="s">
        <x:v>1521</x:v>
      </x:c>
      <x:c r="H20" s="277"/>
      <x:c r="I20" s="280" t="e">
        <x:f>_xlfn.XLOOKUP($A20,发票!$B:$B,发票!I:I,"")</x:f>
        <x:v>#NAME?</x:v>
      </x:c>
      <x:c r="J20" s="277"/>
      <x:c r="L20" s="281"/>
      <x:c r="M20" s="282"/>
    </x:row>
    <x:row r="21" ht="25.5" customHeight="1">
      <x:c r="A21" s="279">
        <x:v>6</x:v>
      </x:c>
      <x:c r="B21" s="213" t="e" cm="1">
        <x:f t="array" ref="B21:F21">_xlfn.HSTACK(_xlfn.XLOOKUP($A21,发票!$B:$B,发票!$C:$C),_xlfn.XLOOKUP($A21,发票!$B:$B,发票!$D:$D),_xlfn.XLOOKUP($A21,发票!$B:$B,发票!$E:$E),_xlfn.XLOOKUP($A21,发票!$B:$B,发票!$F:$F),_xlfn.XLOOKUP($A21,发票!$B:$B,发票!$G:$G))</x:f>
        <x:v>#NAME?</x:v>
      </x:c>
      <x:c r="C21" s="213" t="str">
        <x:v>注塑模具6</x:v>
      </x:c>
      <x:c r="D21" s="275" t="str"/>
      <x:c r="E21" s="213">
        <x:v>1</x:v>
      </x:c>
      <x:c r="F21" s="213" t="str">
        <x:v>套</x:v>
      </x:c>
      <x:c r="G21" s="279" t="s">
        <x:v>1521</x:v>
      </x:c>
      <x:c r="H21" s="277"/>
      <x:c r="I21" s="280" t="e">
        <x:f>_xlfn.XLOOKUP($A21,发票!$B:$B,发票!I:I,"")</x:f>
        <x:v>#NAME?</x:v>
      </x:c>
      <x:c r="J21" s="277"/>
      <x:c r="L21" s="281"/>
      <x:c r="M21" s="282"/>
    </x:row>
    <x:row r="22" ht="25.5" customHeight="1">
      <x:c r="A22" s="279">
        <x:v>7</x:v>
      </x:c>
      <x:c r="B22" s="213" t="e" cm="1">
        <x:f t="array" ref="B22:F22">_xlfn.HSTACK(_xlfn.XLOOKUP($A22,发票!$B:$B,发票!$C:$C),_xlfn.XLOOKUP($A22,发票!$B:$B,发票!$D:$D),_xlfn.XLOOKUP($A22,发票!$B:$B,发票!$E:$E),_xlfn.XLOOKUP($A22,发票!$B:$B,发票!$F:$F),_xlfn.XLOOKUP($A22,发票!$B:$B,发票!$G:$G))</x:f>
        <x:v>#NAME?</x:v>
      </x:c>
      <x:c r="C22" s="213" t="str">
        <x:v>注塑模具7</x:v>
      </x:c>
      <x:c r="D22" s="275" t="str"/>
      <x:c r="E22" s="213">
        <x:v>1</x:v>
      </x:c>
      <x:c r="F22" s="213" t="str">
        <x:v>套</x:v>
      </x:c>
      <x:c r="G22" s="279" t="s">
        <x:v>1521</x:v>
      </x:c>
      <x:c r="H22" s="277"/>
      <x:c r="I22" s="280" t="e">
        <x:f>_xlfn.XLOOKUP($A22,发票!$B:$B,发票!I:I,"")</x:f>
        <x:v>#NAME?</x:v>
      </x:c>
      <x:c r="J22" s="277"/>
      <x:c r="L22" s="281"/>
      <x:c r="M22" s="282"/>
    </x:row>
    <x:row r="23" ht="25.5" customHeight="1">
      <x:c r="A23" s="279">
        <x:v>8</x:v>
      </x:c>
      <x:c r="B23" s="213" t="e" cm="1">
        <x:f t="array" ref="B23:F23">_xlfn.HSTACK(_xlfn.XLOOKUP($A23,发票!$B:$B,发票!$C:$C),_xlfn.XLOOKUP($A23,发票!$B:$B,发票!$D:$D),_xlfn.XLOOKUP($A23,发票!$B:$B,发票!$E:$E),_xlfn.XLOOKUP($A23,发票!$B:$B,发票!$F:$F),_xlfn.XLOOKUP($A23,发票!$B:$B,发票!$G:$G))</x:f>
        <x:v>#NAME?</x:v>
      </x:c>
      <x:c r="C23" s="213" t="str">
        <x:v>注塑模具8</x:v>
      </x:c>
      <x:c r="D23" s="275" t="str"/>
      <x:c r="E23" s="213">
        <x:v>1</x:v>
      </x:c>
      <x:c r="F23" s="213" t="str">
        <x:v>套</x:v>
      </x:c>
      <x:c r="G23" s="279" t="s">
        <x:v>1521</x:v>
      </x:c>
      <x:c r="H23" s="277"/>
      <x:c r="I23" s="280" t="e">
        <x:f>_xlfn.XLOOKUP($A23,发票!$B:$B,发票!I:I,"")</x:f>
        <x:v>#NAME?</x:v>
      </x:c>
      <x:c r="J23" s="277"/>
      <x:c r="L23" s="281"/>
      <x:c r="M23" s="282"/>
    </x:row>
    <x:row r="24" ht="25.5" customHeight="1">
      <x:c r="A24" s="279">
        <x:v>9</x:v>
      </x:c>
      <x:c r="B24" s="213" t="e" cm="1">
        <x:f t="array" ref="B24:F24">_xlfn.HSTACK(_xlfn.XLOOKUP($A24,发票!$B:$B,发票!$C:$C),_xlfn.XLOOKUP($A24,发票!$B:$B,发票!$D:$D),_xlfn.XLOOKUP($A24,发票!$B:$B,发票!$E:$E),_xlfn.XLOOKUP($A24,发票!$B:$B,发票!$F:$F),_xlfn.XLOOKUP($A24,发票!$B:$B,发票!$G:$G))</x:f>
        <x:v>#NAME?</x:v>
      </x:c>
      <x:c r="C24" s="213" t="str">
        <x:v>注塑模具9</x:v>
      </x:c>
      <x:c r="D24" s="275" t="str"/>
      <x:c r="E24" s="213">
        <x:v>1</x:v>
      </x:c>
      <x:c r="F24" s="213" t="str">
        <x:v>套</x:v>
      </x:c>
      <x:c r="G24" s="279" t="s">
        <x:v>1521</x:v>
      </x:c>
      <x:c r="H24" s="277"/>
      <x:c r="I24" s="280" t="e">
        <x:f>_xlfn.XLOOKUP($A24,发票!$B:$B,发票!I:I,"")</x:f>
        <x:v>#NAME?</x:v>
      </x:c>
      <x:c r="J24" s="277"/>
      <x:c r="L24" s="281"/>
      <x:c r="M24" s="282"/>
    </x:row>
    <x:row r="25" ht="25.5" customHeight="1">
      <x:c r="A25" s="279">
        <x:v>10</x:v>
      </x:c>
      <x:c r="B25" s="213" t="e" cm="1">
        <x:f t="array" ref="B25:F25">_xlfn.HSTACK(_xlfn.XLOOKUP($A25,发票!$B:$B,发票!$C:$C),_xlfn.XLOOKUP($A25,发票!$B:$B,发票!$D:$D),_xlfn.XLOOKUP($A25,发票!$B:$B,发票!$E:$E),_xlfn.XLOOKUP($A25,发票!$B:$B,发票!$F:$F),_xlfn.XLOOKUP($A25,发票!$B:$B,发票!$G:$G))</x:f>
        <x:v>#NAME?</x:v>
      </x:c>
      <x:c r="C25" s="213" t="str">
        <x:v>注塑模具10</x:v>
      </x:c>
      <x:c r="D25" s="275" t="str"/>
      <x:c r="E25" s="213">
        <x:v>1</x:v>
      </x:c>
      <x:c r="F25" s="213" t="str">
        <x:v>套</x:v>
      </x:c>
      <x:c r="G25" s="279" t="s">
        <x:v>1521</x:v>
      </x:c>
      <x:c r="H25" s="277"/>
      <x:c r="I25" s="280" t="e">
        <x:f>_xlfn.XLOOKUP($A25,发票!$B:$B,发票!I:I,"")</x:f>
        <x:v>#NAME?</x:v>
      </x:c>
      <x:c r="J25" s="277"/>
      <x:c r="L25" s="281"/>
      <x:c r="M25" s="282"/>
    </x:row>
    <x:row r="26" ht="25.5" customHeight="1">
      <x:c r="A26" s="279">
        <x:v>11</x:v>
      </x:c>
      <x:c r="B26" s="213" t="e" cm="1">
        <x:f t="array" ref="B26:F26">_xlfn.HSTACK(_xlfn.XLOOKUP($A26,发票!$B:$B,发票!$C:$C),_xlfn.XLOOKUP($A26,发票!$B:$B,发票!$D:$D),_xlfn.XLOOKUP($A26,发票!$B:$B,发票!$E:$E),_xlfn.XLOOKUP($A26,发票!$B:$B,发票!$F:$F),_xlfn.XLOOKUP($A26,发票!$B:$B,发票!$G:$G))</x:f>
        <x:v>#NAME?</x:v>
      </x:c>
      <x:c r="C26" s="213" t="str">
        <x:v>注塑模具11</x:v>
      </x:c>
      <x:c r="D26" s="275" t="str"/>
      <x:c r="E26" s="213">
        <x:v>1</x:v>
      </x:c>
      <x:c r="F26" s="213" t="str">
        <x:v>套</x:v>
      </x:c>
      <x:c r="G26" s="279" t="s">
        <x:v>1521</x:v>
      </x:c>
      <x:c r="H26" s="277"/>
      <x:c r="I26" s="280" t="e">
        <x:f>_xlfn.XLOOKUP($A26,发票!$B:$B,发票!I:I,"")</x:f>
        <x:v>#NAME?</x:v>
      </x:c>
      <x:c r="J26" s="277"/>
      <x:c r="L26" s="281"/>
      <x:c r="M26" s="282"/>
    </x:row>
    <x:row r="27" ht="25.5" customHeight="1">
      <x:c r="A27" s="279">
        <x:v>12</x:v>
      </x:c>
      <x:c r="B27" s="213" t="e" cm="1">
        <x:f t="array" ref="B27:F27">_xlfn.HSTACK(_xlfn.XLOOKUP($A27,发票!$B:$B,发票!$C:$C),_xlfn.XLOOKUP($A27,发票!$B:$B,发票!$D:$D),_xlfn.XLOOKUP($A27,发票!$B:$B,发票!$E:$E),_xlfn.XLOOKUP($A27,发票!$B:$B,发票!$F:$F),_xlfn.XLOOKUP($A27,发票!$B:$B,发票!$G:$G))</x:f>
        <x:v>#NAME?</x:v>
      </x:c>
      <x:c r="C27" s="213" t="str">
        <x:v>注塑模具12</x:v>
      </x:c>
      <x:c r="D27" s="275" t="str"/>
      <x:c r="E27" s="213">
        <x:v>1</x:v>
      </x:c>
      <x:c r="F27" s="213" t="str">
        <x:v>套</x:v>
      </x:c>
      <x:c r="G27" s="279" t="s">
        <x:v>1521</x:v>
      </x:c>
      <x:c r="H27" s="277"/>
      <x:c r="I27" s="280" t="e">
        <x:f>_xlfn.XLOOKUP($A27,发票!$B:$B,发票!I:I,"")</x:f>
        <x:v>#NAME?</x:v>
      </x:c>
      <x:c r="J27" s="277"/>
      <x:c r="L27" s="281"/>
      <x:c r="M27" s="282"/>
    </x:row>
    <x:row r="28" ht="25.5" customHeight="1">
      <x:c r="A28" s="279"/>
      <x:c r="B28" s="213"/>
      <x:c r="C28" s="283"/>
      <x:c r="D28" s="283"/>
      <x:c r="E28" s="284"/>
      <x:c r="F28" s="213"/>
      <x:c r="G28" s="279"/>
      <x:c r="H28" s="277"/>
      <x:c r="I28" s="280"/>
      <x:c r="J28" s="277"/>
      <x:c r="L28" s="281"/>
      <x:c r="M28" s="282"/>
    </x:row>
    <x:row r="29" ht="25.5" customHeight="1">
      <x:c r="A29" s="279"/>
      <x:c r="B29" s="213"/>
      <x:c r="C29" s="283"/>
      <x:c r="D29" s="283"/>
      <x:c r="E29" s="284"/>
      <x:c r="F29" s="213"/>
      <x:c r="G29" s="279"/>
      <x:c r="H29" s="277"/>
      <x:c r="I29" s="280"/>
      <x:c r="J29" s="277"/>
      <x:c r="L29" s="281"/>
      <x:c r="M29" s="282"/>
    </x:row>
    <x:row r="30" ht="25.5" customHeight="1">
      <x:c r="A30" s="279"/>
      <x:c r="B30" s="279"/>
      <x:c r="C30" s="283"/>
      <x:c r="D30" s="283"/>
      <x:c r="E30" s="284"/>
      <x:c r="F30" s="213"/>
      <x:c r="G30" s="279"/>
      <x:c r="H30" s="277"/>
      <x:c r="I30" s="280"/>
      <x:c r="J30" s="277"/>
      <x:c r="L30" s="281"/>
      <x:c r="M30" s="282"/>
    </x:row>
    <x:row r="31" ht="25.5" customHeight="1">
      <x:c r="A31" s="279"/>
      <x:c r="B31" s="279"/>
      <x:c r="C31" s="283"/>
      <x:c r="D31" s="283"/>
      <x:c r="E31" s="284"/>
      <x:c r="F31" s="213"/>
      <x:c r="G31" s="279"/>
      <x:c r="H31" s="277"/>
      <x:c r="I31" s="280"/>
      <x:c r="J31" s="277"/>
      <x:c r="L31" s="281"/>
      <x:c r="M31" s="282"/>
    </x:row>
    <x:row r="32" ht="25.5" customHeight="1">
      <x:c r="A32" s="279"/>
      <x:c r="B32" s="279"/>
      <x:c r="C32" s="283"/>
      <x:c r="D32" s="283"/>
      <x:c r="E32" s="284"/>
      <x:c r="F32" s="213"/>
      <x:c r="G32" s="279"/>
      <x:c r="H32" s="277"/>
      <x:c r="I32" s="280"/>
      <x:c r="J32" s="277"/>
      <x:c r="L32" s="281"/>
      <x:c r="M32" s="282"/>
    </x:row>
    <x:row r="33" ht="25.5" customHeight="1">
      <x:c r="A33" s="279"/>
      <x:c r="B33" s="279"/>
      <x:c r="C33" s="283"/>
      <x:c r="D33" s="283"/>
      <x:c r="E33" s="284"/>
      <x:c r="F33" s="213"/>
      <x:c r="G33" s="279"/>
      <x:c r="H33" s="277"/>
      <x:c r="I33" s="280"/>
      <x:c r="J33" s="277"/>
      <x:c r="L33" s="281"/>
      <x:c r="M33" s="282"/>
    </x:row>
    <x:row r="34" ht="25.5" customHeight="1">
      <x:c r="A34" s="279"/>
      <x:c r="B34" s="279"/>
      <x:c r="C34" s="283"/>
      <x:c r="D34" s="283"/>
      <x:c r="E34" s="284"/>
      <x:c r="F34" s="213"/>
      <x:c r="G34" s="279"/>
      <x:c r="H34" s="277"/>
      <x:c r="I34" s="280"/>
      <x:c r="J34" s="277"/>
      <x:c r="L34" s="281"/>
      <x:c r="M34" s="282"/>
    </x:row>
    <x:row r="35" ht="25.5" customHeight="1">
      <x:c r="A35" s="285"/>
      <x:c r="B35" s="286"/>
      <x:c r="C35" s="287"/>
      <x:c r="D35" s="288"/>
      <x:c r="E35" s="289"/>
      <x:c r="F35" s="290"/>
      <x:c r="G35" s="286"/>
      <x:c r="H35" s="265"/>
      <x:c r="I35" s="291"/>
      <x:c r="J35" s="265"/>
      <x:c r="L35" s="281"/>
      <x:c r="M35" s="282"/>
    </x:row>
    <x:row r="36" ht="25.5" customHeight="1">
      <x:c r="A36" s="292"/>
      <x:c r="B36" s="267"/>
      <x:c r="C36" s="293"/>
      <x:c r="D36" s="294"/>
      <x:c r="E36" s="295"/>
      <x:c r="F36" s="213"/>
      <x:c r="G36" s="267"/>
      <x:c r="H36" s="296"/>
      <x:c r="I36" s="297"/>
      <x:c r="J36" s="296"/>
      <x:c r="L36" s="281"/>
      <x:c r="M36" s="282"/>
    </x:row>
    <x:row r="37" ht="25.5" customHeight="1">
      <x:c r="A37" s="292"/>
      <x:c r="B37" s="267"/>
      <x:c r="C37" s="293"/>
      <x:c r="D37" s="294"/>
      <x:c r="E37" s="295"/>
      <x:c r="F37" s="213"/>
      <x:c r="G37" s="267"/>
      <x:c r="H37" s="296"/>
      <x:c r="I37" s="297"/>
      <x:c r="J37" s="296"/>
      <x:c r="L37" s="281"/>
      <x:c r="M37" s="282"/>
    </x:row>
    <x:row r="38" ht="25.5" customHeight="1">
      <x:c r="A38" s="292"/>
      <x:c r="B38" s="267"/>
      <x:c r="C38" s="293"/>
      <x:c r="D38" s="294"/>
      <x:c r="E38" s="295"/>
      <x:c r="F38" s="213"/>
      <x:c r="G38" s="267"/>
      <x:c r="H38" s="296"/>
      <x:c r="I38" s="297"/>
      <x:c r="J38" s="296"/>
      <x:c r="L38" s="281"/>
      <x:c r="M38" s="282"/>
    </x:row>
    <x:row r="39" ht="25.5" customHeight="1">
      <x:c r="A39" s="292"/>
      <x:c r="B39" s="267"/>
      <x:c r="C39" s="293"/>
      <x:c r="D39" s="294"/>
      <x:c r="E39" s="295"/>
      <x:c r="F39" s="213"/>
      <x:c r="G39" s="267"/>
      <x:c r="H39" s="296"/>
      <x:c r="I39" s="297"/>
      <x:c r="J39" s="296"/>
      <x:c r="L39" s="281"/>
      <x:c r="M39" s="282"/>
    </x:row>
    <x:row r="40" ht="25.5" customHeight="1">
      <x:c r="A40" s="292"/>
      <x:c r="B40" s="267"/>
      <x:c r="C40" s="293"/>
      <x:c r="D40" s="294"/>
      <x:c r="E40" s="295"/>
      <x:c r="F40" s="213"/>
      <x:c r="G40" s="267"/>
      <x:c r="H40" s="296"/>
      <x:c r="I40" s="297"/>
      <x:c r="J40" s="296"/>
      <x:c r="L40" s="281"/>
      <x:c r="M40" s="282"/>
    </x:row>
    <x:row r="41" ht="25.5" customHeight="1">
      <x:c r="A41" s="292"/>
      <x:c r="B41" s="267"/>
      <x:c r="C41" s="293"/>
      <x:c r="D41" s="294"/>
      <x:c r="E41" s="295"/>
      <x:c r="F41" s="213"/>
      <x:c r="G41" s="267"/>
      <x:c r="H41" s="296"/>
      <x:c r="I41" s="297"/>
      <x:c r="J41" s="296"/>
      <x:c r="L41" s="281"/>
      <x:c r="M41" s="282"/>
    </x:row>
    <x:row r="42" ht="25.5" customHeight="1">
      <x:c r="A42" s="292"/>
      <x:c r="B42" s="267"/>
      <x:c r="C42" s="293"/>
      <x:c r="D42" s="298"/>
      <x:c r="E42" s="295"/>
      <x:c r="F42" s="299"/>
      <x:c r="G42" s="267"/>
      <x:c r="H42" s="296"/>
      <x:c r="I42" s="297"/>
      <x:c r="J42" s="296"/>
      <x:c r="L42" s="281"/>
      <x:c r="M42" s="282"/>
    </x:row>
    <x:row r="43" ht="25.5" customHeight="1">
      <x:c r="A43" s="292"/>
      <x:c r="B43" s="267"/>
      <x:c r="C43" s="293"/>
      <x:c r="D43" s="298"/>
      <x:c r="E43" s="295"/>
      <x:c r="F43" s="299"/>
      <x:c r="G43" s="267"/>
      <x:c r="H43" s="296"/>
      <x:c r="I43" s="297"/>
      <x:c r="J43" s="296"/>
      <x:c r="L43" s="281"/>
      <x:c r="M43" s="282"/>
    </x:row>
    <x:row r="44" ht="25.5" customHeight="1">
      <x:c r="A44" s="292"/>
      <x:c r="B44" s="267"/>
      <x:c r="C44" s="293"/>
      <x:c r="D44" s="298"/>
      <x:c r="E44" s="295"/>
      <x:c r="F44" s="299"/>
      <x:c r="G44" s="267"/>
      <x:c r="H44" s="296"/>
      <x:c r="I44" s="297"/>
      <x:c r="J44" s="296"/>
      <x:c r="L44" s="281"/>
      <x:c r="M44" s="282"/>
    </x:row>
    <x:row r="45" ht="25.5" customHeight="1">
      <x:c r="A45" s="292"/>
      <x:c r="B45" s="267"/>
      <x:c r="C45" s="293"/>
      <x:c r="D45" s="298"/>
      <x:c r="E45" s="295"/>
      <x:c r="F45" s="299"/>
      <x:c r="G45" s="267"/>
      <x:c r="H45" s="296"/>
      <x:c r="I45" s="297"/>
      <x:c r="J45" s="296"/>
      <x:c r="L45" s="281"/>
      <x:c r="M45" s="282"/>
    </x:row>
    <x:row r="46" ht="25.5" customHeight="1">
      <x:c r="A46" s="292"/>
      <x:c r="B46" s="267"/>
      <x:c r="C46" s="293"/>
      <x:c r="D46" s="298"/>
      <x:c r="E46" s="295"/>
      <x:c r="F46" s="299"/>
      <x:c r="G46" s="267"/>
      <x:c r="H46" s="296"/>
      <x:c r="I46" s="297"/>
      <x:c r="J46" s="296"/>
      <x:c r="L46" s="281"/>
      <x:c r="M46" s="282"/>
    </x:row>
    <x:row r="47" ht="25.5" customHeight="1">
      <x:c r="A47" s="292"/>
      <x:c r="B47" s="267"/>
      <x:c r="C47" s="293"/>
      <x:c r="D47" s="298"/>
      <x:c r="E47" s="295"/>
      <x:c r="F47" s="299"/>
      <x:c r="G47" s="267"/>
      <x:c r="H47" s="296"/>
      <x:c r="I47" s="297"/>
      <x:c r="J47" s="296"/>
      <x:c r="L47" s="281"/>
      <x:c r="M47" s="282"/>
    </x:row>
    <x:row r="48" ht="25.5" customHeight="1">
      <x:c r="A48" s="292"/>
      <x:c r="B48" s="267"/>
      <x:c r="C48" s="293"/>
      <x:c r="D48" s="298"/>
      <x:c r="E48" s="295"/>
      <x:c r="F48" s="299"/>
      <x:c r="G48" s="267"/>
      <x:c r="H48" s="296"/>
      <x:c r="I48" s="297"/>
      <x:c r="J48" s="296"/>
      <x:c r="L48" s="281"/>
      <x:c r="M48" s="282"/>
    </x:row>
    <x:row r="49" ht="25.5" customHeight="1">
      <x:c r="A49" s="292"/>
      <x:c r="B49" s="267"/>
      <x:c r="C49" s="293"/>
      <x:c r="D49" s="298"/>
      <x:c r="E49" s="295"/>
      <x:c r="F49" s="299"/>
      <x:c r="G49" s="267"/>
      <x:c r="H49" s="296"/>
      <x:c r="I49" s="297"/>
      <x:c r="J49" s="296"/>
      <x:c r="L49" s="281"/>
      <x:c r="M49" s="282"/>
    </x:row>
    <x:row r="50" ht="25.5" customHeight="1">
      <x:c r="A50" s="292"/>
      <x:c r="B50" s="267"/>
      <x:c r="C50" s="293"/>
      <x:c r="D50" s="298"/>
      <x:c r="E50" s="295"/>
      <x:c r="F50" s="299"/>
      <x:c r="G50" s="267"/>
      <x:c r="H50" s="296"/>
      <x:c r="I50" s="297"/>
      <x:c r="J50" s="296"/>
      <x:c r="L50" s="281"/>
      <x:c r="M50" s="282"/>
    </x:row>
    <x:row r="51" ht="25.5" customHeight="1">
      <x:c r="A51" s="292"/>
      <x:c r="B51" s="267"/>
      <x:c r="C51" s="293"/>
      <x:c r="D51" s="298"/>
      <x:c r="E51" s="295"/>
      <x:c r="F51" s="299"/>
      <x:c r="G51" s="267"/>
      <x:c r="H51" s="296"/>
      <x:c r="I51" s="297"/>
      <x:c r="J51" s="296"/>
      <x:c r="L51" s="281"/>
      <x:c r="M51" s="282"/>
    </x:row>
    <x:row r="52" ht="44.099998474121094" customHeight="1">
      <x:c r="A52" s="292"/>
      <x:c r="B52" s="267"/>
      <x:c r="C52" s="293"/>
      <x:c r="D52" s="294"/>
      <x:c r="E52" s="300" t="e">
        <x:f>'发票'!F43</x:f>
        <x:v>#NAME?</x:v>
      </x:c>
      <x:c r="F52" s="299" t="n">
        <x:f>'发票'!G43</x:f>
        <x:v>0</x:v>
      </x:c>
      <x:c r="G52" s="267" t="s">
        <x:v>1521</x:v>
      </x:c>
      <x:c r="H52" s="296"/>
      <x:c r="I52" s="297" t="n">
        <x:f>'发票'!I43</x:f>
        <x:v>12165.929999999995</x:v>
      </x:c>
      <x:c r="J52" s="296"/>
      <x:c r="L52" s="281"/>
      <x:c r="M52" s="282"/>
    </x:row>
    <x:row r="53" ht="17.25" customHeight="1">
      <x:c r="A53" s="301"/>
      <x:c r="B53" s="301"/>
      <x:c r="D53" s="302"/>
      <x:c r="E53" s="303" t="e">
        <x:f>SUM(E16:E52)</x:f>
        <x:v>#NAME?</x:v>
      </x:c>
      <x:c r="F53" s="304"/>
      <x:c r="G53" s="301" t="s">
        <x:v>1522</x:v>
      </x:c>
      <x:c r="H53" s="301"/>
      <x:c r="I53" s="305" t="e">
        <x:f>SUM(I16:I52)</x:f>
        <x:v>#NAME?</x:v>
      </x:c>
      <x:c r="J53" s="306"/>
      <x:c r="L53" s="282"/>
    </x:row>
    <x:row r="54" customHeight="1">
      <x:c r="A54" s="307" t="s">
        <x:v>1523</x:v>
      </x:c>
      <x:c r="B54" s="308"/>
      <x:c r="C54" s="309"/>
      <x:c r="D54" s="308"/>
      <x:c r="E54" s="308"/>
      <x:c r="F54" s="308"/>
      <x:c r="G54" s="308"/>
      <x:c r="H54" s="308"/>
      <x:c r="I54" s="310"/>
      <x:c r="J54" s="311"/>
      <x:c r="L54" s="282"/>
    </x:row>
    <x:row r="55" ht="17.25" customHeight="1">
      <x:c r="A55" s="312" t="s">
        <x:v>1524</x:v>
      </x:c>
      <x:c r="B55" s="308"/>
      <x:c r="C55" s="308"/>
      <x:c r="D55" s="308"/>
      <x:c r="E55" s="313" t="s">
        <x:v>1525</x:v>
      </x:c>
      <x:c r="F55" s="313"/>
      <x:c r="G55" s="313"/>
      <x:c r="H55" s="313"/>
      <x:c r="I55" s="314"/>
      <x:c r="J55" s="315"/>
    </x:row>
    <x:row r="56" ht="17.25" customHeight="1">
      <x:c r="A56" s="312" t="s">
        <x:v>1526</x:v>
      </x:c>
      <x:c r="B56" s="308"/>
      <x:c r="C56" s="308"/>
      <x:c r="D56" s="308"/>
      <x:c r="E56" s="308"/>
      <x:c r="F56" s="308"/>
      <x:c r="G56" s="308"/>
      <x:c r="H56" s="308"/>
      <x:c r="I56" s="310"/>
      <x:c r="J56" s="311"/>
    </x:row>
    <x:row r="57" ht="17.25" customHeight="1">
      <x:c r="A57" s="307" t="s">
        <x:v>1527</x:v>
      </x:c>
      <x:c r="B57" s="308"/>
      <x:c r="C57" s="308"/>
      <x:c r="D57" s="316" t="s">
        <x:v>1528</x:v>
      </x:c>
      <x:c r="E57" s="308"/>
      <x:c r="F57" s="308"/>
      <x:c r="G57" s="308"/>
      <x:c r="H57" s="308"/>
      <x:c r="I57" s="310"/>
      <x:c r="J57" s="311"/>
    </x:row>
    <x:row r="58">
      <x:c r="A58" s="301" t="s">
        <x:v>1529</x:v>
      </x:c>
      <x:c r="B58" s="301"/>
      <x:c r="C58" s="317" t="s">
        <x:v>1530</x:v>
      </x:c>
      <x:c r="D58" s="317"/>
      <x:c r="E58" s="317"/>
      <x:c r="F58" s="317"/>
      <x:c r="G58" s="317"/>
      <x:c r="H58" s="317"/>
      <x:c r="I58" s="318"/>
      <x:c r="J58" s="255"/>
    </x:row>
    <x:row r="59" ht="13.75" customHeight="1">
      <x:c r="A59" s="319" t="s">
        <x:v>1531</x:v>
      </x:c>
      <x:c r="B59" s="264"/>
      <x:c r="C59" s="320"/>
      <x:c r="D59" s="264"/>
      <x:c r="E59" s="264"/>
      <x:c r="F59" s="264"/>
      <x:c r="G59" s="264"/>
      <x:c r="H59" s="264"/>
      <x:c r="I59" s="270"/>
      <x:c r="J59" s="265"/>
    </x:row>
    <x:row r="60" ht="18.75" customHeight="1">
      <x:c r="A60" s="321" t="s">
        <x:v>1532</x:v>
      </x:c>
      <x:c r="B60" s="248"/>
      <x:c r="C60" s="248"/>
      <x:c r="D60" s="248"/>
      <x:c r="E60" s="248"/>
      <x:c r="F60" s="248"/>
      <x:c r="G60" s="248"/>
      <x:c r="H60" s="248"/>
      <x:c r="I60" s="268"/>
      <x:c r="J60" s="248"/>
    </x:row>
    <x:row r="61" ht="18" customHeight="1">
      <x:c r="A61" s="322" t="s">
        <x:v>1533</x:v>
      </x:c>
      <x:c r="B61" s="323"/>
      <x:c r="C61" s="323"/>
      <x:c r="D61" s="323"/>
      <x:c r="E61" s="322" t="s">
        <x:v>1534</x:v>
      </x:c>
      <x:c r="F61" s="323"/>
      <x:c r="G61" s="323"/>
      <x:c r="H61" s="323"/>
      <x:c r="I61" s="324"/>
      <x:c r="J61" s="306"/>
    </x:row>
    <x:row r="62" ht="23.25" customHeight="1">
      <x:c r="A62" s="325" t="s">
        <x:v>1535</x:v>
      </x:c>
      <x:c r="B62" s="308"/>
      <x:c r="C62" s="308"/>
      <x:c r="D62" s="308"/>
      <x:c r="E62" s="325" t="s">
        <x:v>1536</x:v>
      </x:c>
      <x:c r="F62" s="308"/>
      <x:c r="G62" s="308"/>
      <x:c r="H62" s="308"/>
      <x:c r="I62" s="310"/>
      <x:c r="J62" s="311"/>
    </x:row>
    <x:row r="63" ht="15.75" customHeight="1">
      <x:c r="A63" s="326"/>
      <x:c r="B63" s="326"/>
      <x:c r="C63" s="326"/>
      <x:c r="D63" s="326"/>
      <x:c r="E63" s="326"/>
      <x:c r="F63" s="326"/>
      <x:c r="G63" s="326"/>
      <x:c r="H63" s="326"/>
      <x:c r="I63" s="327"/>
      <x:c r="J63" s="255"/>
    </x:row>
    <x:row r="64" ht="23.25" customHeight="1">
      <x:c r="A64" s="328" t="s">
        <x:v>1537</x:v>
      </x:c>
      <x:c r="B64" s="328"/>
      <x:c r="C64" s="328"/>
      <x:c r="D64" s="328"/>
      <x:c r="E64" s="328" t="s">
        <x:v>1537</x:v>
      </x:c>
      <x:c r="F64" s="328"/>
      <x:c r="G64" s="328"/>
      <x:c r="H64" s="329"/>
      <x:c r="I64" s="330"/>
      <x:c r="J64" s="331"/>
    </x:row>
    <x:row r="65" ht="14.25" customHeight="1">
      <x:c r="A65" s="332"/>
      <x:c r="B65" s="333"/>
      <x:c r="C65" s="333"/>
      <x:c r="D65" s="333"/>
      <x:c r="E65" s="332"/>
      <x:c r="F65" s="333"/>
      <x:c r="G65" s="333"/>
      <x:c r="H65" s="333"/>
      <x:c r="I65" s="334"/>
      <x:c r="J65" s="335"/>
    </x:row>
  </x:sheetData>
  <x:mergeCells>
    <x:mergeCell ref="A1:J1"/>
    <x:mergeCell ref="A2:J2"/>
    <x:mergeCell ref="B4:F4"/>
    <x:mergeCell ref="B5:F5"/>
    <x:mergeCell ref="B6:F6"/>
    <x:mergeCell ref="B7:F7"/>
    <x:mergeCell ref="B8:F8"/>
    <x:mergeCell ref="B9:F9"/>
    <x:mergeCell ref="A10:J10"/>
    <x:mergeCell ref="A11:J11"/>
    <x:mergeCell ref="A12:J12"/>
    <x:mergeCell ref="A13:J13"/>
    <x:mergeCell ref="C14:D14"/>
    <x:mergeCell ref="G14:H14"/>
    <x:mergeCell ref="I14:J14"/>
    <x:mergeCell ref="C15:D15"/>
    <x:mergeCell ref="G15:H15"/>
    <x:mergeCell ref="I15:J15"/>
    <x:mergeCell ref="G16:H16"/>
    <x:mergeCell ref="I16:J16"/>
    <x:mergeCell ref="G17:H17"/>
    <x:mergeCell ref="I17:J17"/>
    <x:mergeCell ref="G18:H18"/>
    <x:mergeCell ref="I18:J18"/>
    <x:mergeCell ref="G19:H19"/>
    <x:mergeCell ref="I19:J19"/>
    <x:mergeCell ref="G20:H20"/>
    <x:mergeCell ref="I20:J20"/>
    <x:mergeCell ref="G21:H21"/>
    <x:mergeCell ref="I21:J21"/>
    <x:mergeCell ref="G22:H22"/>
    <x:mergeCell ref="I22:J22"/>
    <x:mergeCell ref="G23:H23"/>
    <x:mergeCell ref="I23:J23"/>
    <x:mergeCell ref="G24:H24"/>
    <x:mergeCell ref="I24:J24"/>
    <x:mergeCell ref="G25:H25"/>
    <x:mergeCell ref="I25:J25"/>
    <x:mergeCell ref="G26:H26"/>
    <x:mergeCell ref="I26:J26"/>
    <x:mergeCell ref="G27:H27"/>
    <x:mergeCell ref="I27:J27"/>
    <x:mergeCell ref="G28:H28"/>
    <x:mergeCell ref="I28:J28"/>
    <x:mergeCell ref="G29:H29"/>
    <x:mergeCell ref="I29:J29"/>
    <x:mergeCell ref="G30:H30"/>
    <x:mergeCell ref="I30:J30"/>
    <x:mergeCell ref="G31:H31"/>
    <x:mergeCell ref="I31:J31"/>
    <x:mergeCell ref="G32:H32"/>
    <x:mergeCell ref="I32:J32"/>
    <x:mergeCell ref="G33:H33"/>
    <x:mergeCell ref="I33:J33"/>
    <x:mergeCell ref="G34:H34"/>
    <x:mergeCell ref="I34:J34"/>
    <x:mergeCell ref="G35:H35"/>
    <x:mergeCell ref="I35:J35"/>
    <x:mergeCell ref="G36:H36"/>
    <x:mergeCell ref="I36:J36"/>
    <x:mergeCell ref="G37:H37"/>
    <x:mergeCell ref="I37:J37"/>
    <x:mergeCell ref="G38:H38"/>
    <x:mergeCell ref="I38:J38"/>
    <x:mergeCell ref="G39:H39"/>
    <x:mergeCell ref="I39:J39"/>
    <x:mergeCell ref="G40:H40"/>
    <x:mergeCell ref="I40:J40"/>
    <x:mergeCell ref="G41:H41"/>
    <x:mergeCell ref="I41:J41"/>
    <x:mergeCell ref="G42:H42"/>
    <x:mergeCell ref="I42:J42"/>
    <x:mergeCell ref="G43:H43"/>
    <x:mergeCell ref="I43:J43"/>
    <x:mergeCell ref="G44:H44"/>
    <x:mergeCell ref="I44:J44"/>
    <x:mergeCell ref="G45:H45"/>
    <x:mergeCell ref="I45:J45"/>
    <x:mergeCell ref="G46:H46"/>
    <x:mergeCell ref="I46:J46"/>
    <x:mergeCell ref="G47:H47"/>
    <x:mergeCell ref="I47:J47"/>
    <x:mergeCell ref="G48:H48"/>
    <x:mergeCell ref="I48:J48"/>
    <x:mergeCell ref="G49:H49"/>
    <x:mergeCell ref="I49:J49"/>
    <x:mergeCell ref="G50:H50"/>
    <x:mergeCell ref="I50:J50"/>
    <x:mergeCell ref="G51:H51"/>
    <x:mergeCell ref="I51:J51"/>
    <x:mergeCell ref="G52:H52"/>
    <x:mergeCell ref="I52:J52"/>
    <x:mergeCell ref="A53:B53"/>
    <x:mergeCell ref="G53:H53"/>
    <x:mergeCell ref="I53:J53"/>
    <x:mergeCell ref="A54:B54"/>
    <x:mergeCell ref="C54:J54"/>
    <x:mergeCell ref="A55:D55"/>
    <x:mergeCell ref="A56:D56"/>
    <x:mergeCell ref="E56:J56"/>
    <x:mergeCell ref="A57:C57"/>
    <x:mergeCell ref="D57:J57"/>
    <x:mergeCell ref="A58:B58"/>
    <x:mergeCell ref="C58:J58"/>
    <x:mergeCell ref="A59:B59"/>
    <x:mergeCell ref="C59:J59"/>
    <x:mergeCell ref="A60:J60"/>
    <x:mergeCell ref="A61:D61"/>
    <x:mergeCell ref="E61:J61"/>
    <x:mergeCell ref="A62:D62"/>
    <x:mergeCell ref="E62:J62"/>
    <x:mergeCell ref="A63:D63"/>
    <x:mergeCell ref="E63:J63"/>
    <x:mergeCell ref="A64:D64"/>
    <x:mergeCell ref="E64:G64"/>
    <x:mergeCell ref="H64:J64"/>
    <x:mergeCell ref="G4:H5"/>
    <x:mergeCell ref="I4:J5"/>
    <x:mergeCell ref="G6:H7"/>
    <x:mergeCell ref="I6:J7"/>
    <x:mergeCell ref="G8:J9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9.816666603088379" defaultRowHeight="14.25"/>
  <x:cols>
    <x:col min="1" max="1" width="10.641666412353516" style="202" customWidth="1"/>
    <x:col min="2" max="2" width="37.358333587646484" style="202" customWidth="1"/>
    <x:col min="3" max="3" width="6.550000190734863" style="202" customWidth="1"/>
    <x:col min="4" max="4" width="5.733333110809326" style="202" customWidth="1"/>
    <x:col min="5" max="5" width="12.816666603088379" style="202" customWidth="1"/>
    <x:col min="6" max="6" width="9.333333015441895" style="202" customWidth="1"/>
    <x:col min="7" max="7" width="15.949999809265137" style="202" customWidth="1"/>
    <x:col min="8" max="8" width="12.949999809265137" style="202" customWidth="1"/>
    <x:col min="9" max="16384" width="9.816666603088379" style="202" customWidth="1"/>
  </x:cols>
  <x:sheetData>
    <x:row r="1" ht="28.5" customHeight="1">
      <x:c r="A1" s="203" t="s">
        <x:v>1538</x:v>
      </x:c>
      <x:c r="B1" s="203"/>
      <x:c r="C1" s="203"/>
      <x:c r="D1" s="203"/>
      <x:c r="E1" s="203"/>
      <x:c r="F1" s="203"/>
      <x:c r="G1" s="203"/>
      <x:c r="H1" s="203"/>
    </x:row>
    <x:row r="2" ht="20.25" customHeight="1">
      <x:c r="A2" s="204" t="s">
        <x:v>1539</x:v>
      </x:c>
      <x:c r="B2" s="204"/>
      <x:c r="C2" s="204"/>
      <x:c r="D2" s="204"/>
      <x:c r="E2" s="204"/>
      <x:c r="F2" s="204"/>
      <x:c r="G2" s="204"/>
      <x:c r="H2" s="204"/>
    </x:row>
    <x:row r="3" ht="19.5" customHeight="1">
      <x:c r="G3" s="202" t="s">
        <x:v>1540</x:v>
      </x:c>
      <x:c r="H3" s="205"/>
    </x:row>
    <x:row r="4" ht="22.5" customHeight="1">
      <x:c r="A4" s="202" t="s">
        <x:v>1541</x:v>
      </x:c>
      <x:c r="G4" s="202" t="s">
        <x:v>1542</x:v>
      </x:c>
      <x:c r="H4" s="206" t="e">
        <x:f>发票!D5</x:f>
        <x:v>#NAME?</x:v>
      </x:c>
    </x:row>
    <x:row r="5" ht="20.25" customHeight="1">
      <x:c r="A5" s="207" t="s">
        <x:v>1543</x:v>
      </x:c>
      <x:c r="B5" s="207"/>
      <x:c r="C5" s="207"/>
    </x:row>
    <x:row r="6" ht="15.5" customHeight="1">
      <x:c r="A6" s="202" t="s">
        <x:v>1544</x:v>
      </x:c>
      <x:c r="C6" s="207" t="s">
        <x:v>1545</x:v>
      </x:c>
      <x:c r="D6" s="207"/>
      <x:c r="E6" s="207"/>
      <x:c r="F6" s="207" t="s">
        <x:v>1546</x:v>
      </x:c>
      <x:c r="G6" s="207"/>
      <x:c r="H6" s="207"/>
    </x:row>
    <x:row r="7" ht="15.5" customHeight="1">
      <x:c r="A7" s="207" t="s">
        <x:v>1547</x:v>
      </x:c>
      <x:c r="B7" s="207"/>
      <x:c r="C7" s="207" t="s">
        <x:v>1548</x:v>
      </x:c>
      <x:c r="D7" s="207"/>
      <x:c r="E7" s="207"/>
      <x:c r="F7" s="207" t="s">
        <x:v>1549</x:v>
      </x:c>
      <x:c r="G7" s="207"/>
      <x:c r="H7" s="207"/>
    </x:row>
    <x:row r="8">
      <x:c r="A8" s="208" t="s">
        <x:v>1550</x:v>
      </x:c>
      <x:c r="B8" s="209" t="s">
        <x:v>1551</x:v>
      </x:c>
      <x:c r="C8" s="208" t="s">
        <x:v>1552</x:v>
      </x:c>
      <x:c r="D8" s="43"/>
      <x:c r="E8" s="208" t="s">
        <x:v>1553</x:v>
      </x:c>
      <x:c r="F8" s="43"/>
      <x:c r="G8" s="209" t="s">
        <x:v>1554</x:v>
      </x:c>
      <x:c r="H8" s="208" t="s">
        <x:v>1555</x:v>
      </x:c>
    </x:row>
    <x:row r="9" ht="15.5" customHeight="1">
      <x:c r="A9" s="210" t="s">
        <x:v>1556</x:v>
      </x:c>
      <x:c r="B9" s="211" t="s">
        <x:v>1557</x:v>
      </x:c>
      <x:c r="C9" s="210" t="s">
        <x:v>1558</x:v>
      </x:c>
      <x:c r="D9" s="37"/>
      <x:c r="E9" s="210" t="s">
        <x:v>1559</x:v>
      </x:c>
      <x:c r="F9" s="37"/>
      <x:c r="G9" s="211" t="s">
        <x:v>1560</x:v>
      </x:c>
      <x:c r="H9" s="210" t="s">
        <x:v>1561</x:v>
      </x:c>
    </x:row>
    <x:row r="10" s="200" customFormat="1" ht="27.75" customHeight="1">
      <x:c r="A10" s="212">
        <x:v>1</x:v>
      </x:c>
      <x:c r="B10" s="213" t="e" cm="1">
        <x:f t="array" ref="B10:H10">_xlfn.HSTACK(_xlfn.XLOOKUP($A10,发票!$B:$B,发票!$D:$D),_xlfn.XLOOKUP($A10,发票!$B:$B,发票!$L:$L),_xlfn.XLOOKUP($A10,发票!$B:$B,发票!$M:$M),_xlfn.XLOOKUP($A10,发票!$B:$B,发票!$F:$F),_xlfn.XLOOKUP($A10,发票!$B:$B,发票!$G:$G),_xlfn.XLOOKUP($A10,发票!$B:$B,发票!$J:$J),_xlfn.XLOOKUP($A10,发票!$B:$B,发票!$K:$K))</x:f>
        <x:v>#NAME?</x:v>
      </x:c>
      <x:c r="C10" s="213">
        <x:v>1</x:v>
      </x:c>
      <x:c r="D10" s="213" t="str">
        <x:v>箱</x:v>
      </x:c>
      <x:c r="E10" s="213">
        <x:v>1</x:v>
      </x:c>
      <x:c r="F10" s="213" t="str">
        <x:v>套</x:v>
      </x:c>
      <x:c r="G10" s="213">
        <x:v>866</x:v>
      </x:c>
      <x:c r="H10" s="213">
        <x:v>830</x:v>
      </x:c>
      <x:c r="J10" s="200" t="s">
        <x:v>1562</x:v>
      </x:c>
    </x:row>
    <x:row r="11" s="200" customFormat="1" ht="27.75" customHeight="1">
      <x:c r="A11" s="212">
        <x:v>2</x:v>
      </x:c>
      <x:c r="B11" s="213" t="e" cm="1">
        <x:f t="array" ref="B11:H11">_xlfn.HSTACK(_xlfn.XLOOKUP($A11,发票!$B:$B,发票!$D:$D),_xlfn.XLOOKUP($A11,发票!$B:$B,发票!$L:$L),_xlfn.XLOOKUP($A11,发票!$B:$B,发票!$M:$M),_xlfn.XLOOKUP($A11,发票!$B:$B,发票!$F:$F),_xlfn.XLOOKUP($A11,发票!$B:$B,发票!$G:$G),_xlfn.XLOOKUP($A11,发票!$B:$B,发票!$J:$J),_xlfn.XLOOKUP($A11,发票!$B:$B,发票!$K:$K))</x:f>
        <x:v>#NAME?</x:v>
      </x:c>
      <x:c r="C11" s="213">
        <x:v>1</x:v>
      </x:c>
      <x:c r="D11" s="213" t="str">
        <x:v>箱</x:v>
      </x:c>
      <x:c r="E11" s="213">
        <x:v>1</x:v>
      </x:c>
      <x:c r="F11" s="213" t="str">
        <x:v>套</x:v>
      </x:c>
      <x:c r="G11" s="213">
        <x:v>866</x:v>
      </x:c>
      <x:c r="H11" s="213">
        <x:v>830</x:v>
      </x:c>
    </x:row>
    <x:row r="12" s="200" customFormat="1" ht="27.75" customHeight="1">
      <x:c r="A12" s="212">
        <x:v>3</x:v>
      </x:c>
      <x:c r="B12" s="213" t="e" cm="1">
        <x:f t="array" ref="B12:H12">_xlfn.HSTACK(_xlfn.XLOOKUP($A12,发票!$B:$B,发票!$D:$D),_xlfn.XLOOKUP($A12,发票!$B:$B,发票!$L:$L),_xlfn.XLOOKUP($A12,发票!$B:$B,发票!$M:$M),_xlfn.XLOOKUP($A12,发票!$B:$B,发票!$F:$F),_xlfn.XLOOKUP($A12,发票!$B:$B,发票!$G:$G),_xlfn.XLOOKUP($A12,发票!$B:$B,发票!$J:$J),_xlfn.XLOOKUP($A12,发票!$B:$B,发票!$K:$K))</x:f>
        <x:v>#NAME?</x:v>
      </x:c>
      <x:c r="C12" s="213">
        <x:v>1</x:v>
      </x:c>
      <x:c r="D12" s="213" t="str">
        <x:v>箱</x:v>
      </x:c>
      <x:c r="E12" s="213">
        <x:v>1</x:v>
      </x:c>
      <x:c r="F12" s="213" t="str">
        <x:v>套</x:v>
      </x:c>
      <x:c r="G12" s="213">
        <x:v>383</x:v>
      </x:c>
      <x:c r="H12" s="213">
        <x:v>350</x:v>
      </x:c>
    </x:row>
    <x:row r="13" s="200" customFormat="1" ht="27.75" customHeight="1">
      <x:c r="A13" s="212">
        <x:v>4</x:v>
      </x:c>
      <x:c r="B13" s="213" t="e" cm="1">
        <x:f t="array" ref="B13:H13">_xlfn.HSTACK(_xlfn.XLOOKUP($A13,发票!$B:$B,发票!$D:$D),_xlfn.XLOOKUP($A13,发票!$B:$B,发票!$L:$L),_xlfn.XLOOKUP($A13,发票!$B:$B,发票!$M:$M),_xlfn.XLOOKUP($A13,发票!$B:$B,发票!$F:$F),_xlfn.XLOOKUP($A13,发票!$B:$B,发票!$G:$G),_xlfn.XLOOKUP($A13,发票!$B:$B,发票!$J:$J),_xlfn.XLOOKUP($A13,发票!$B:$B,发票!$K:$K))</x:f>
        <x:v>#NAME?</x:v>
      </x:c>
      <x:c r="C13" s="213">
        <x:v>1</x:v>
      </x:c>
      <x:c r="D13" s="213" t="str">
        <x:v>箱</x:v>
      </x:c>
      <x:c r="E13" s="213">
        <x:v>1</x:v>
      </x:c>
      <x:c r="F13" s="213" t="str">
        <x:v>套</x:v>
      </x:c>
      <x:c r="G13" s="213">
        <x:v>473</x:v>
      </x:c>
      <x:c r="H13" s="213">
        <x:v>440</x:v>
      </x:c>
    </x:row>
    <x:row r="14" s="200" customFormat="1" ht="27.75" customHeight="1">
      <x:c r="A14" s="212">
        <x:v>5</x:v>
      </x:c>
      <x:c r="B14" s="213" t="e" cm="1">
        <x:f t="array" ref="B14:H14">_xlfn.HSTACK(_xlfn.XLOOKUP($A14,发票!$B:$B,发票!$D:$D),_xlfn.XLOOKUP($A14,发票!$B:$B,发票!$L:$L),_xlfn.XLOOKUP($A14,发票!$B:$B,发票!$M:$M),_xlfn.XLOOKUP($A14,发票!$B:$B,发票!$F:$F),_xlfn.XLOOKUP($A14,发票!$B:$B,发票!$G:$G),_xlfn.XLOOKUP($A14,发票!$B:$B,发票!$J:$J),_xlfn.XLOOKUP($A14,发票!$B:$B,发票!$K:$K))</x:f>
        <x:v>#NAME?</x:v>
      </x:c>
      <x:c r="C14" s="213">
        <x:v>1</x:v>
      </x:c>
      <x:c r="D14" s="213" t="str">
        <x:v>箱</x:v>
      </x:c>
      <x:c r="E14" s="213">
        <x:v>1</x:v>
      </x:c>
      <x:c r="F14" s="213" t="str">
        <x:v>套</x:v>
      </x:c>
      <x:c r="G14" s="213">
        <x:v>433</x:v>
      </x:c>
      <x:c r="H14" s="213">
        <x:v>400</x:v>
      </x:c>
    </x:row>
    <x:row r="15" s="200" customFormat="1" ht="27.75" customHeight="1">
      <x:c r="A15" s="212">
        <x:v>6</x:v>
      </x:c>
      <x:c r="B15" s="213" t="e" cm="1">
        <x:f t="array" ref="B15:H15">_xlfn.HSTACK(_xlfn.XLOOKUP($A15,发票!$B:$B,发票!$D:$D),_xlfn.XLOOKUP($A15,发票!$B:$B,发票!$L:$L),_xlfn.XLOOKUP($A15,发票!$B:$B,发票!$M:$M),_xlfn.XLOOKUP($A15,发票!$B:$B,发票!$F:$F),_xlfn.XLOOKUP($A15,发票!$B:$B,发票!$G:$G),_xlfn.XLOOKUP($A15,发票!$B:$B,发票!$J:$J),_xlfn.XLOOKUP($A15,发票!$B:$B,发票!$K:$K))</x:f>
        <x:v>#NAME?</x:v>
      </x:c>
      <x:c r="C15" s="213">
        <x:v>1</x:v>
      </x:c>
      <x:c r="D15" s="213" t="str">
        <x:v>箱</x:v>
      </x:c>
      <x:c r="E15" s="213">
        <x:v>1</x:v>
      </x:c>
      <x:c r="F15" s="213" t="str">
        <x:v>套</x:v>
      </x:c>
      <x:c r="G15" s="213">
        <x:v>433</x:v>
      </x:c>
      <x:c r="H15" s="213">
        <x:v>300</x:v>
      </x:c>
    </x:row>
    <x:row r="16" s="200" customFormat="1" ht="27.75" customHeight="1">
      <x:c r="A16" s="212">
        <x:v>7</x:v>
      </x:c>
      <x:c r="B16" s="213" t="e" cm="1">
        <x:f t="array" ref="B16:H16">_xlfn.HSTACK(_xlfn.XLOOKUP($A16,发票!$B:$B,发票!$D:$D),_xlfn.XLOOKUP($A16,发票!$B:$B,发票!$L:$L),_xlfn.XLOOKUP($A16,发票!$B:$B,发票!$M:$M),_xlfn.XLOOKUP($A16,发票!$B:$B,发票!$F:$F),_xlfn.XLOOKUP($A16,发票!$B:$B,发票!$G:$G),_xlfn.XLOOKUP($A16,发票!$B:$B,发票!$J:$J),_xlfn.XLOOKUP($A16,发票!$B:$B,发票!$K:$K))</x:f>
        <x:v>#NAME?</x:v>
      </x:c>
      <x:c r="C16" s="213">
        <x:v>1</x:v>
      </x:c>
      <x:c r="D16" s="213" t="str">
        <x:v>箱</x:v>
      </x:c>
      <x:c r="E16" s="213">
        <x:v>1</x:v>
      </x:c>
      <x:c r="F16" s="213" t="str">
        <x:v>套</x:v>
      </x:c>
      <x:c r="G16" s="213">
        <x:v>199</x:v>
      </x:c>
      <x:c r="H16" s="213">
        <x:v>170</x:v>
      </x:c>
    </x:row>
    <x:row r="17" s="200" customFormat="1" ht="27.75" customHeight="1">
      <x:c r="A17" s="212"/>
      <x:c r="B17" s="214"/>
      <x:c r="C17" s="215"/>
      <x:c r="D17" s="216"/>
      <x:c r="E17" s="217"/>
      <x:c r="F17" s="217"/>
      <x:c r="G17" s="218"/>
      <x:c r="H17" s="219"/>
    </x:row>
    <x:row r="18" s="200" customFormat="1" ht="27.75" customHeight="1">
      <x:c r="A18" s="212"/>
      <x:c r="B18" s="214"/>
      <x:c r="C18" s="215"/>
      <x:c r="D18" s="216"/>
      <x:c r="E18" s="217"/>
      <x:c r="F18" s="217"/>
      <x:c r="G18" s="218"/>
      <x:c r="H18" s="219"/>
    </x:row>
    <x:row r="19" s="200" customFormat="1" ht="27.75" customHeight="1">
      <x:c r="A19" s="212"/>
      <x:c r="B19" s="214"/>
      <x:c r="C19" s="215"/>
      <x:c r="D19" s="216"/>
      <x:c r="E19" s="217"/>
      <x:c r="F19" s="217"/>
      <x:c r="G19" s="218"/>
      <x:c r="H19" s="219"/>
    </x:row>
    <x:row r="20" s="200" customFormat="1" ht="27.75" customHeight="1">
      <x:c r="A20" s="212"/>
      <x:c r="B20" s="214"/>
      <x:c r="C20" s="215"/>
      <x:c r="D20" s="216"/>
      <x:c r="E20" s="217"/>
      <x:c r="F20" s="217"/>
      <x:c r="G20" s="218"/>
      <x:c r="H20" s="219"/>
    </x:row>
    <x:row r="21" s="200" customFormat="1" ht="27.75" customHeight="1">
      <x:c r="A21" s="212"/>
      <x:c r="B21" s="214"/>
      <x:c r="C21" s="215"/>
      <x:c r="D21" s="216"/>
      <x:c r="E21" s="217"/>
      <x:c r="F21" s="217"/>
      <x:c r="G21" s="218"/>
      <x:c r="H21" s="219"/>
    </x:row>
    <x:row r="22" s="200" customFormat="1" ht="27.75" customHeight="1">
      <x:c r="A22" s="212"/>
      <x:c r="B22" s="214"/>
      <x:c r="C22" s="215"/>
      <x:c r="D22" s="216"/>
      <x:c r="E22" s="217"/>
      <x:c r="F22" s="217"/>
      <x:c r="G22" s="218"/>
      <x:c r="H22" s="219"/>
    </x:row>
    <x:row r="23" s="200" customFormat="1" ht="27.75" customHeight="1">
      <x:c r="A23" s="212"/>
      <x:c r="B23" s="214"/>
      <x:c r="C23" s="215"/>
      <x:c r="D23" s="216"/>
      <x:c r="E23" s="217"/>
      <x:c r="F23" s="217"/>
      <x:c r="G23" s="218"/>
      <x:c r="H23" s="219"/>
    </x:row>
    <x:row r="24" s="200" customFormat="1" ht="27.75" customHeight="1">
      <x:c r="A24" s="212"/>
      <x:c r="B24" s="214"/>
      <x:c r="C24" s="215"/>
      <x:c r="D24" s="216"/>
      <x:c r="E24" s="217"/>
      <x:c r="F24" s="217"/>
      <x:c r="G24" s="218"/>
      <x:c r="H24" s="219"/>
    </x:row>
    <x:row r="25" s="200" customFormat="1" ht="27.75" customHeight="1">
      <x:c r="A25" s="212"/>
      <x:c r="B25" s="214"/>
      <x:c r="C25" s="215"/>
      <x:c r="D25" s="216"/>
      <x:c r="E25" s="217"/>
      <x:c r="F25" s="217"/>
      <x:c r="G25" s="218"/>
      <x:c r="H25" s="219"/>
    </x:row>
    <x:row r="26" s="200" customFormat="1" ht="27.75" customHeight="1">
      <x:c r="A26" s="212"/>
      <x:c r="B26" s="214"/>
      <x:c r="C26" s="215"/>
      <x:c r="D26" s="216"/>
      <x:c r="E26" s="217"/>
      <x:c r="F26" s="217"/>
      <x:c r="G26" s="218"/>
      <x:c r="H26" s="219"/>
    </x:row>
    <x:row r="27" s="200" customFormat="1" ht="27.75" customHeight="1">
      <x:c r="A27" s="212"/>
      <x:c r="B27" s="214"/>
      <x:c r="C27" s="215"/>
      <x:c r="D27" s="216"/>
      <x:c r="E27" s="217"/>
      <x:c r="F27" s="217"/>
      <x:c r="G27" s="218"/>
      <x:c r="H27" s="219"/>
    </x:row>
    <x:row r="28" s="200" customFormat="1" ht="27.75" customHeight="1">
      <x:c r="A28" s="212"/>
      <x:c r="B28" s="214"/>
      <x:c r="C28" s="215"/>
      <x:c r="D28" s="216"/>
      <x:c r="E28" s="217"/>
      <x:c r="F28" s="217"/>
      <x:c r="G28" s="218"/>
      <x:c r="H28" s="219"/>
    </x:row>
    <x:row r="29" s="200" customFormat="1" ht="27.75" customHeight="1">
      <x:c r="A29" s="212"/>
      <x:c r="B29" s="214"/>
      <x:c r="C29" s="215"/>
      <x:c r="D29" s="216"/>
      <x:c r="E29" s="217"/>
      <x:c r="F29" s="217"/>
      <x:c r="G29" s="218"/>
      <x:c r="H29" s="219"/>
    </x:row>
    <x:row r="30" s="200" customFormat="1" ht="27.75" customHeight="1">
      <x:c r="A30" s="212"/>
      <x:c r="B30" s="214"/>
      <x:c r="C30" s="215"/>
      <x:c r="D30" s="216"/>
      <x:c r="E30" s="217"/>
      <x:c r="F30" s="217"/>
      <x:c r="G30" s="218"/>
      <x:c r="H30" s="219"/>
    </x:row>
    <x:row r="31" s="200" customFormat="1" ht="27.75" customHeight="1">
      <x:c r="A31" s="212"/>
      <x:c r="B31" s="214"/>
      <x:c r="C31" s="215"/>
      <x:c r="D31" s="216"/>
      <x:c r="E31" s="217"/>
      <x:c r="F31" s="217"/>
      <x:c r="G31" s="218"/>
      <x:c r="H31" s="219"/>
    </x:row>
    <x:row r="32" s="200" customFormat="1" ht="27.75" customHeight="1">
      <x:c r="A32" s="212"/>
      <x:c r="B32" s="214"/>
      <x:c r="C32" s="215"/>
      <x:c r="D32" s="216"/>
      <x:c r="E32" s="217"/>
      <x:c r="F32" s="217"/>
      <x:c r="G32" s="218"/>
      <x:c r="H32" s="219"/>
    </x:row>
    <x:row r="33" s="200" customFormat="1" ht="27.75" customHeight="1">
      <x:c r="A33" s="212"/>
      <x:c r="B33" s="214"/>
      <x:c r="C33" s="215"/>
      <x:c r="D33" s="216"/>
      <x:c r="E33" s="217"/>
      <x:c r="F33" s="217"/>
      <x:c r="G33" s="218"/>
      <x:c r="H33" s="219"/>
    </x:row>
    <x:row r="34" s="200" customFormat="1" ht="27.75" customHeight="1">
      <x:c r="A34" s="212"/>
      <x:c r="B34" s="214"/>
      <x:c r="C34" s="215"/>
      <x:c r="D34" s="216"/>
      <x:c r="E34" s="217"/>
      <x:c r="F34" s="217"/>
      <x:c r="G34" s="218"/>
      <x:c r="H34" s="219"/>
    </x:row>
    <x:row r="35" s="200" customFormat="1" ht="27.75" customHeight="1">
      <x:c r="A35" s="212"/>
      <x:c r="B35" s="214"/>
      <x:c r="C35" s="215"/>
      <x:c r="D35" s="216"/>
      <x:c r="E35" s="217"/>
      <x:c r="F35" s="217"/>
      <x:c r="G35" s="218"/>
      <x:c r="H35" s="219"/>
    </x:row>
    <x:row r="36" s="200" customFormat="1" ht="27.75" customHeight="1">
      <x:c r="A36" s="212"/>
      <x:c r="B36" s="220"/>
      <x:c r="C36" s="215"/>
      <x:c r="D36" s="216"/>
      <x:c r="E36" s="217"/>
      <x:c r="F36" s="217"/>
      <x:c r="G36" s="218"/>
      <x:c r="H36" s="219"/>
    </x:row>
    <x:row r="37" s="200" customFormat="1" ht="27.75" customHeight="1">
      <x:c r="A37" s="212"/>
      <x:c r="B37" s="220"/>
      <x:c r="C37" s="215"/>
      <x:c r="D37" s="216"/>
      <x:c r="E37" s="217"/>
      <x:c r="F37" s="217"/>
      <x:c r="G37" s="218"/>
      <x:c r="H37" s="219"/>
    </x:row>
    <x:row r="38" s="200" customFormat="1" ht="27.75" customHeight="1">
      <x:c r="A38" s="212"/>
      <x:c r="B38" s="220"/>
      <x:c r="C38" s="215"/>
      <x:c r="D38" s="216"/>
      <x:c r="E38" s="217"/>
      <x:c r="F38" s="217"/>
      <x:c r="G38" s="218"/>
      <x:c r="H38" s="219"/>
    </x:row>
    <x:row r="39" s="200" customFormat="1" ht="27.75" customHeight="1">
      <x:c r="A39" s="212"/>
      <x:c r="B39" s="220"/>
      <x:c r="C39" s="215"/>
      <x:c r="D39" s="216"/>
      <x:c r="E39" s="217"/>
      <x:c r="F39" s="217"/>
      <x:c r="G39" s="218"/>
      <x:c r="H39" s="219"/>
    </x:row>
    <x:row r="40" s="200" customFormat="1" ht="27.75" customHeight="1">
      <x:c r="A40" s="212"/>
      <x:c r="B40" s="220"/>
      <x:c r="C40" s="215"/>
      <x:c r="D40" s="216"/>
      <x:c r="E40" s="217"/>
      <x:c r="F40" s="217"/>
      <x:c r="G40" s="218"/>
      <x:c r="H40" s="219"/>
    </x:row>
    <x:row r="41" s="200" customFormat="1" ht="27.75" customHeight="1">
      <x:c r="A41" s="212"/>
      <x:c r="B41" s="220"/>
      <x:c r="C41" s="215"/>
      <x:c r="D41" s="216"/>
      <x:c r="E41" s="217"/>
      <x:c r="F41" s="217"/>
      <x:c r="G41" s="218"/>
      <x:c r="H41" s="219"/>
    </x:row>
    <x:row r="42" s="200" customFormat="1" ht="27.75" customHeight="1">
      <x:c r="A42" s="212"/>
      <x:c r="B42" s="220"/>
      <x:c r="C42" s="215"/>
      <x:c r="D42" s="216"/>
      <x:c r="E42" s="217"/>
      <x:c r="F42" s="217"/>
      <x:c r="G42" s="218"/>
      <x:c r="H42" s="219"/>
    </x:row>
    <x:row r="43" s="200" customFormat="1" ht="27.75" customHeight="1">
      <x:c r="A43" s="212"/>
      <x:c r="B43" s="220"/>
      <x:c r="C43" s="215"/>
      <x:c r="D43" s="216"/>
      <x:c r="E43" s="217"/>
      <x:c r="F43" s="217"/>
      <x:c r="G43" s="218"/>
      <x:c r="H43" s="219"/>
    </x:row>
    <x:row r="44" s="200" customFormat="1" ht="27.75" customHeight="1">
      <x:c r="A44" s="212"/>
      <x:c r="B44" s="220"/>
      <x:c r="C44" s="215"/>
      <x:c r="D44" s="216"/>
      <x:c r="E44" s="217"/>
      <x:c r="F44" s="217"/>
      <x:c r="G44" s="218"/>
      <x:c r="H44" s="219"/>
    </x:row>
    <x:row r="45" s="200" customFormat="1" ht="27.75" customHeight="1">
      <x:c r="A45" s="212"/>
      <x:c r="B45" s="220"/>
      <x:c r="C45" s="215"/>
      <x:c r="D45" s="216"/>
      <x:c r="E45" s="217"/>
      <x:c r="F45" s="217"/>
      <x:c r="G45" s="218"/>
      <x:c r="H45" s="219"/>
    </x:row>
    <x:row r="46" s="201" customFormat="1" ht="18.75" customHeight="1">
      <x:c r="A46" s="212"/>
      <x:c r="B46" s="221"/>
      <x:c r="C46" s="222"/>
      <x:c r="D46" s="223"/>
      <x:c r="E46" s="224"/>
      <x:c r="F46" s="224"/>
      <x:c r="G46" s="225"/>
      <x:c r="H46" s="226"/>
    </x:row>
    <x:row r="47">
      <x:c r="A47" s="209" t="s">
        <x:v>1563</x:v>
      </x:c>
      <x:c r="B47" s="227"/>
      <x:c r="C47" s="228" t="n">
        <x:f t="shared" ref="C47:H47" si="0">SUM(C10:C46)</x:f>
        <x:v>7</x:v>
      </x:c>
      <x:c r="D47" s="229"/>
      <x:c r="E47" s="230">
        <x:f t="shared" si="0"/>
        <x:v>7</x:v>
      </x:c>
      <x:c r="F47" s="231"/>
      <x:c r="G47" s="231">
        <x:f t="shared" si="0"/>
        <x:v>3653</x:v>
      </x:c>
      <x:c r="H47" s="232">
        <x:f t="shared" si="0"/>
        <x:v>3320</x:v>
      </x:c>
    </x:row>
    <x:row r="48" ht="15.5" customHeight="1">
      <x:c r="A48" s="211" t="s">
        <x:v>1564</x:v>
      </x:c>
      <x:c r="B48" s="233"/>
      <x:c r="C48" s="234"/>
      <x:c r="D48" s="235"/>
      <x:c r="E48" s="233"/>
      <x:c r="F48" s="235"/>
      <x:c r="G48" s="233"/>
      <x:c r="H48" s="236"/>
    </x:row>
  </x:sheetData>
  <x:mergeCells>
    <x:mergeCell ref="A1:H1"/>
    <x:mergeCell ref="A2:H2"/>
    <x:mergeCell ref="A5:C5"/>
    <x:mergeCell ref="C6:E6"/>
    <x:mergeCell ref="F6:H6"/>
    <x:mergeCell ref="A7:B7"/>
    <x:mergeCell ref="C7:E7"/>
    <x:mergeCell ref="F7:H7"/>
    <x:mergeCell ref="C8:D8"/>
    <x:mergeCell ref="E8:F8"/>
    <x:mergeCell ref="C9:D9"/>
    <x:mergeCell ref="E9:F9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ColWidth="9.816666603088379" defaultRowHeight="15.75"/>
  <x:cols>
    <x:col min="1" max="1" width="4.9083333015441895" style="7" customWidth="1"/>
    <x:col min="2" max="2" width="6.949999809265137" style="7" customWidth="1"/>
    <x:col min="3" max="3" width="6.266666889190674" style="7" customWidth="1"/>
    <x:col min="4" max="4" width="17.450000762939453" style="7" customWidth="1"/>
    <x:col min="5" max="6" width="17.858333587646484" style="7" customWidth="1"/>
    <x:col min="7" max="7" width="10.641666412353516" style="10" customWidth="1"/>
    <x:col min="8" max="9" width="6" style="7" customWidth="1"/>
    <x:col min="10" max="10" width="5.449999809265137" style="7" customWidth="1"/>
    <x:col min="11" max="11" width="6.816666603088379" style="7" customWidth="1"/>
    <x:col min="12" max="12" width="5.183333396911621" style="7" customWidth="1"/>
    <x:col min="13" max="13" width="4.233333110809326" style="7" customWidth="1"/>
    <x:col min="14" max="14" width="11.591666221618652" style="7" customWidth="1"/>
    <x:col min="15" max="15" width="4.9083333015441895" style="7" customWidth="1"/>
    <x:col min="16" max="16" width="10.766666412353516" style="7" customWidth="1"/>
    <x:col min="17" max="16384" width="9.816666603088379" style="9" customWidth="1"/>
  </x:cols>
  <x:sheetData>
    <x:row r="1" s="5" customFormat="1" ht="17.5" customHeight="1">
      <x:c r="A1" s="11" t="s">
        <x:v>1565</x:v>
      </x:c>
      <x:c r="B1" s="11"/>
      <x:c r="C1" s="11"/>
      <x:c r="D1" s="11"/>
      <x:c r="E1" s="11"/>
      <x:c r="F1" s="11"/>
      <x:c r="G1" s="12"/>
      <x:c r="H1" s="11"/>
      <x:c r="I1" s="11"/>
      <x:c r="J1" s="11"/>
      <x:c r="K1" s="11"/>
      <x:c r="L1" s="11"/>
      <x:c r="M1" s="11"/>
      <x:c r="N1" s="11"/>
      <x:c r="O1" s="11"/>
      <x:c r="P1" s="11"/>
    </x:row>
    <x:row r="2" ht="20.75" customHeight="1">
      <x:c r="A2" s="13"/>
      <x:c r="B2" s="14"/>
      <x:c r="C2" s="14"/>
      <x:c r="D2" s="14"/>
      <x:c r="E2" s="15" t="s">
        <x:v>1566</x:v>
      </x:c>
      <x:c r="F2" s="14"/>
      <x:c r="G2" s="16"/>
      <x:c r="H2" s="17"/>
      <x:c r="I2" s="17"/>
      <x:c r="J2" s="17"/>
      <x:c r="K2" s="18" t="s">
        <x:v>1567</x:v>
      </x:c>
      <x:c r="L2" s="14"/>
      <x:c r="M2" s="19"/>
      <x:c r="N2" s="17"/>
      <x:c r="O2" s="17"/>
      <x:c r="P2" s="17"/>
    </x:row>
    <x:row r="3" s="6" customFormat="1" ht="12" customHeight="1">
      <x:c r="A3" s="20" t="s">
        <x:v>1568</x:v>
      </x:c>
      <x:c r="B3" s="21"/>
      <x:c r="C3" s="21"/>
      <x:c r="D3" s="21"/>
      <x:c r="E3" s="22"/>
      <x:c r="F3" s="23" t="s">
        <x:v>1569</x:v>
      </x:c>
      <x:c r="G3" s="24"/>
      <x:c r="H3" s="21"/>
      <x:c r="I3" s="25"/>
      <x:c r="J3" s="26" t="s">
        <x:v>1570</x:v>
      </x:c>
      <x:c r="K3" s="21"/>
      <x:c r="L3" s="22"/>
      <x:c r="M3" s="27" t="s">
        <x:v>1571</x:v>
      </x:c>
      <x:c r="N3" s="21"/>
      <x:c r="O3" s="21"/>
      <x:c r="P3" s="28"/>
    </x:row>
    <x:row r="4">
      <x:c r="A4" s="29" t="s">
        <x:v>1572</x:v>
      </x:c>
      <x:c r="B4" s="30"/>
      <x:c r="C4" s="30"/>
      <x:c r="D4" s="30"/>
      <x:c r="E4" s="31"/>
      <x:c r="F4" s="32"/>
      <x:c r="G4" s="33"/>
      <x:c r="H4" s="34"/>
      <x:c r="I4" s="35"/>
      <x:c r="J4" s="36" t="n">
        <x:f ca="1">TODAY()</x:f>
        <x:v>46272</x:v>
      </x:c>
      <x:c r="K4" s="34"/>
      <x:c r="L4" s="37"/>
      <x:c r="M4" s="38" t="n">
        <x:f ca="1">TODAY()</x:f>
        <x:v>46272</x:v>
      </x:c>
      <x:c r="N4" s="34"/>
      <x:c r="O4" s="34"/>
      <x:c r="P4" s="39"/>
    </x:row>
    <x:row r="5" s="6" customFormat="1" ht="13" customHeight="1">
      <x:c r="A5" s="40" t="s">
        <x:v>1573</x:v>
      </x:c>
      <x:c r="B5" s="41"/>
      <x:c r="C5" s="41"/>
      <x:c r="D5" s="987" t="s">
        <x:v>1574</x:v>
      </x:c>
      <x:c r="E5" s="43"/>
      <x:c r="F5" s="44" t="s">
        <x:v>1575</x:v>
      </x:c>
      <x:c r="G5" s="45"/>
      <x:c r="H5" s="44" t="s">
        <x:v>1576</x:v>
      </x:c>
      <x:c r="I5" s="41"/>
      <x:c r="J5" s="41"/>
      <x:c r="K5" s="43"/>
      <x:c r="L5" s="46" t="s">
        <x:v>1577</x:v>
      </x:c>
      <x:c r="M5" s="41"/>
      <x:c r="N5" s="41"/>
      <x:c r="O5" s="41"/>
      <x:c r="P5" s="47"/>
    </x:row>
    <x:row r="6" ht="18.75" customHeight="1">
      <x:c r="A6" s="48" t="s">
        <x:v>84</x:v>
      </x:c>
      <x:c r="B6" s="34"/>
      <x:c r="C6" s="34"/>
      <x:c r="D6" s="34"/>
      <x:c r="E6" s="37"/>
      <x:c r="F6" s="49"/>
      <x:c r="G6" s="50"/>
      <x:c r="H6" s="51"/>
      <x:c r="I6" s="34"/>
      <x:c r="J6" s="34"/>
      <x:c r="K6" s="37"/>
      <x:c r="L6" s="52"/>
      <x:c r="M6" s="53" t="e">
        <x:f>司机资料!B8</x:f>
        <x:v>#NAME?</x:v>
      </x:c>
      <x:c r="N6" s="30"/>
      <x:c r="O6" s="30"/>
      <x:c r="P6" s="54"/>
      <x:c r="Q6" s="55"/>
    </x:row>
    <x:row r="7" s="6" customFormat="1" ht="13" customHeight="1">
      <x:c r="A7" s="40" t="s">
        <x:v>1578</x:v>
      </x:c>
      <x:c r="B7" s="41"/>
      <x:c r="C7" s="41"/>
      <x:c r="D7" s="987" t="s">
        <x:v>1574</x:v>
      </x:c>
      <x:c r="E7" s="43"/>
      <x:c r="F7" s="56" t="s">
        <x:v>1579</x:v>
      </x:c>
      <x:c r="G7" s="57"/>
      <x:c r="H7" s="41"/>
      <x:c r="I7" s="58"/>
      <x:c r="J7" s="44" t="s">
        <x:v>1580</x:v>
      </x:c>
      <x:c r="K7" s="41"/>
      <x:c r="L7" s="43"/>
      <x:c r="M7" s="59" t="s">
        <x:v>1581</x:v>
      </x:c>
      <x:c r="N7" s="41"/>
      <x:c r="O7" s="41"/>
      <x:c r="P7" s="47"/>
    </x:row>
    <x:row r="8" ht="14.25">
      <x:c r="A8" s="48" t="s">
        <x:v>84</x:v>
      </x:c>
      <x:c r="B8" s="34"/>
      <x:c r="C8" s="34"/>
      <x:c r="D8" s="34"/>
      <x:c r="E8" s="37"/>
      <x:c r="F8" s="60" t="s">
        <x:v>1582</x:v>
      </x:c>
      <x:c r="G8" s="61"/>
      <x:c r="H8" s="30"/>
      <x:c r="I8" s="62"/>
      <x:c r="J8" s="63" t="s">
        <x:v>1583</x:v>
      </x:c>
      <x:c r="K8" s="34"/>
      <x:c r="L8" s="37"/>
      <x:c r="M8" s="64" t="s">
        <x:v>1584</x:v>
      </x:c>
      <x:c r="N8" s="34"/>
      <x:c r="O8" s="34"/>
      <x:c r="P8" s="39"/>
    </x:row>
    <x:row r="9" s="6" customFormat="1" ht="12" customHeight="1">
      <x:c r="A9" s="65" t="s">
        <x:v>1585</x:v>
      </x:c>
      <x:c r="B9" s="41"/>
      <x:c r="C9" s="41"/>
      <x:c r="D9" s="43"/>
      <x:c r="E9" s="44" t="s">
        <x:v>1586</x:v>
      </x:c>
      <x:c r="F9" s="41"/>
      <x:c r="G9" s="45"/>
      <x:c r="H9" s="44" t="s">
        <x:v>1587</x:v>
      </x:c>
      <x:c r="I9" s="41"/>
      <x:c r="J9" s="41"/>
      <x:c r="K9" s="41"/>
      <x:c r="L9" s="43"/>
      <x:c r="M9" s="59" t="s">
        <x:v>1588</x:v>
      </x:c>
      <x:c r="N9" s="41"/>
      <x:c r="O9" s="41"/>
      <x:c r="P9" s="47"/>
    </x:row>
    <x:row r="10" s="7" customFormat="1">
      <x:c r="A10" s="66"/>
      <x:c r="B10" s="30"/>
      <x:c r="C10" s="30"/>
      <x:c r="D10" s="31"/>
      <x:c r="E10" s="67" t="s">
        <x:v>1589</x:v>
      </x:c>
      <x:c r="F10" s="30"/>
      <x:c r="G10" s="50"/>
      <x:c r="H10" s="67" t="s">
        <x:v>1589</x:v>
      </x:c>
      <x:c r="I10" s="30"/>
      <x:c r="J10" s="30"/>
      <x:c r="K10" s="30"/>
      <x:c r="L10" s="31"/>
      <x:c r="M10" s="68" t="s">
        <x:v>1590</x:v>
      </x:c>
      <x:c r="N10" s="34"/>
      <x:c r="O10" s="34"/>
      <x:c r="P10" s="39"/>
    </x:row>
    <x:row r="11" s="6" customFormat="1" ht="14" customHeight="1">
      <x:c r="A11" s="65" t="s">
        <x:v>1591</x:v>
      </x:c>
      <x:c r="B11" s="41"/>
      <x:c r="C11" s="41"/>
      <x:c r="D11" s="43"/>
      <x:c r="E11" s="69" t="s">
        <x:v>1592</x:v>
      </x:c>
      <x:c r="F11" s="44" t="s">
        <x:v>1593</x:v>
      </x:c>
      <x:c r="G11" s="57"/>
      <x:c r="H11" s="43"/>
      <x:c r="I11" s="58"/>
      <x:c r="J11" s="70"/>
      <x:c r="K11" s="41"/>
      <x:c r="L11" s="43"/>
      <x:c r="M11" s="59" t="s">
        <x:v>1594</x:v>
      </x:c>
      <x:c r="N11" s="41"/>
      <x:c r="O11" s="41"/>
      <x:c r="P11" s="47"/>
      <x:c r="U11" s="71"/>
    </x:row>
    <x:row r="12">
      <x:c r="A12" s="72"/>
      <x:c r="B12" s="30"/>
      <x:c r="C12" s="30"/>
      <x:c r="D12" s="31"/>
      <x:c r="E12" s="73" t="s">
        <x:v>1595</x:v>
      </x:c>
      <x:c r="F12" s="74"/>
      <x:c r="G12" s="61"/>
      <x:c r="H12" s="31"/>
      <x:c r="I12" s="75"/>
      <x:c r="J12" s="76"/>
      <x:c r="K12" s="30"/>
      <x:c r="L12" s="31"/>
      <x:c r="M12" s="77"/>
      <x:c r="N12" s="30"/>
      <x:c r="O12" s="30"/>
      <x:c r="P12" s="54"/>
      <x:c r="U12" s="78"/>
    </x:row>
    <x:row r="13" s="6" customFormat="1" ht="14.25" customHeight="1">
      <x:c r="A13" s="65" t="s">
        <x:v>1596</x:v>
      </x:c>
      <x:c r="B13" s="41"/>
      <x:c r="C13" s="41"/>
      <x:c r="D13" s="43"/>
      <x:c r="E13" s="44" t="s">
        <x:v>1490</x:v>
      </x:c>
      <x:c r="F13" s="43"/>
      <x:c r="G13" s="79" t="s">
        <x:v>1597</x:v>
      </x:c>
      <x:c r="H13" s="41"/>
      <x:c r="I13" s="80" t="s">
        <x:v>1488</x:v>
      </x:c>
      <x:c r="J13" s="41"/>
      <x:c r="K13" s="41"/>
      <x:c r="L13" s="43"/>
      <x:c r="M13" s="59" t="s">
        <x:v>1489</x:v>
      </x:c>
      <x:c r="N13" s="41"/>
      <x:c r="O13" s="41"/>
      <x:c r="P13" s="47"/>
    </x:row>
    <x:row r="14">
      <x:c r="A14" s="66" t="e">
        <x:f>发票!D5</x:f>
        <x:v>#NAME?</x:v>
      </x:c>
      <x:c r="B14" s="30"/>
      <x:c r="C14" s="30"/>
      <x:c r="D14" s="31"/>
      <x:c r="E14" s="81" t="n">
        <x:f>SUM('装箱单 (2)'!C47)</x:f>
        <x:v>7</x:v>
      </x:c>
      <x:c r="F14" s="37"/>
      <x:c r="G14" s="82" t="s">
        <x:v>1598</x:v>
      </x:c>
      <x:c r="H14" s="31"/>
      <x:c r="I14" s="83" t="n">
        <x:f>SUM('装箱单 (2)'!G47)</x:f>
        <x:v>3653</x:v>
      </x:c>
      <x:c r="J14" s="34"/>
      <x:c r="K14" s="34"/>
      <x:c r="L14" s="37"/>
      <x:c r="M14" s="84" t="n">
        <x:f>SUM('装箱单 (2)'!H47)</x:f>
        <x:v>3320</x:v>
      </x:c>
      <x:c r="N14" s="34"/>
      <x:c r="O14" s="34"/>
      <x:c r="P14" s="39"/>
    </x:row>
    <x:row r="15" s="6" customFormat="1" ht="12" customHeight="1">
      <x:c r="A15" s="40" t="s">
        <x:v>1599</x:v>
      </x:c>
      <x:c r="B15" s="41"/>
      <x:c r="C15" s="41"/>
      <x:c r="D15" s="41"/>
      <x:c r="E15" s="58" t="s">
        <x:v>1600</x:v>
      </x:c>
      <x:c r="F15" s="41"/>
      <x:c r="G15" s="57"/>
      <x:c r="H15" s="41"/>
      <x:c r="I15" s="41"/>
      <x:c r="J15" s="41"/>
      <x:c r="K15" s="85" t="s">
        <x:v>1601</x:v>
      </x:c>
      <x:c r="L15" s="41"/>
      <x:c r="M15" s="41"/>
      <x:c r="N15" s="41"/>
      <x:c r="O15" s="41"/>
      <x:c r="P15" s="47"/>
    </x:row>
    <x:row r="16" s="7" customFormat="1" ht="23.25" customHeight="1">
      <x:c r="A16" s="86" t="e">
        <x:f>司机资料!B2</x:f>
        <x:v>#NAME?</x:v>
      </x:c>
      <x:c r="B16" s="17"/>
      <x:c r="C16" s="17"/>
      <x:c r="D16" s="17"/>
      <x:c r="E16" s="87"/>
      <x:c r="F16" s="17"/>
      <x:c r="G16" s="88"/>
      <x:c r="H16" s="17"/>
      <x:c r="I16" s="17"/>
      <x:c r="J16" s="17"/>
      <x:c r="K16" s="89"/>
      <x:c r="L16" s="17"/>
      <x:c r="M16" s="17"/>
      <x:c r="N16" s="17"/>
      <x:c r="O16" s="17"/>
      <x:c r="P16" s="90"/>
      <x:c r="T16" s="91"/>
    </x:row>
    <x:row r="17" s="6" customFormat="1" ht="21" customHeight="1">
      <x:c r="A17" s="92" t="s">
        <x:v>1602</x:v>
      </x:c>
      <x:c r="B17" s="21"/>
      <x:c r="C17" s="93"/>
      <x:c r="D17" s="94" t="e">
        <x:f>司机资料!B5</x:f>
        <x:v>#NAME?</x:v>
      </x:c>
      <x:c r="F17" s="95"/>
      <x:c r="G17" s="96"/>
      <x:c r="H17" s="95"/>
      <x:c r="I17" s="95"/>
      <x:c r="J17" s="95"/>
      <x:c r="K17" s="97"/>
      <x:c r="L17" s="97"/>
      <x:c r="M17" s="97"/>
      <x:c r="N17" s="97"/>
      <x:c r="O17" s="97"/>
      <x:c r="P17" s="98"/>
      <x:c r="S17" s="91"/>
    </x:row>
    <x:row r="18" ht="12.75" customHeight="1">
      <x:c r="A18" s="99"/>
      <x:c r="B18" s="100"/>
      <x:c r="C18" s="101"/>
      <x:c r="D18" s="101"/>
      <x:c r="E18" s="102" t="s">
        <x:v>1603</x:v>
      </x:c>
      <x:c r="F18" s="102"/>
      <x:c r="G18" s="103"/>
      <x:c r="H18" s="102"/>
      <x:c r="I18" s="102"/>
      <x:c r="J18" s="102"/>
      <x:c r="K18" s="102"/>
      <x:c r="L18" s="102"/>
      <x:c r="M18" s="104"/>
      <x:c r="N18" s="105"/>
      <x:c r="O18" s="105"/>
      <x:c r="P18" s="106"/>
    </x:row>
    <x:row r="19" ht="16.25" customHeight="1">
      <x:c r="A19" s="107"/>
      <x:c r="B19" s="108"/>
      <x:c r="C19" s="108"/>
      <x:c r="D19" s="108"/>
      <x:c r="E19" s="109"/>
      <x:c r="F19" s="109"/>
      <x:c r="G19" s="110"/>
      <x:c r="H19" s="109"/>
      <x:c r="I19" s="109"/>
      <x:c r="J19" s="109"/>
      <x:c r="K19" s="109"/>
      <x:c r="L19" s="109"/>
      <x:c r="M19" s="109"/>
      <x:c r="N19" s="14"/>
      <x:c r="O19" s="14"/>
      <x:c r="P19" s="111"/>
    </x:row>
    <x:row r="20" s="8" customFormat="1" ht="14.25" customHeight="1">
      <x:c r="A20" s="112" t="s">
        <x:v>1550</x:v>
      </x:c>
      <x:c r="B20" s="113" t="s">
        <x:v>1604</x:v>
      </x:c>
      <x:c r="C20" s="93"/>
      <x:c r="D20" s="113" t="s">
        <x:v>1605</x:v>
      </x:c>
      <x:c r="E20" s="21"/>
      <x:c r="F20" s="93"/>
      <x:c r="G20" s="114" t="s">
        <x:v>1606</x:v>
      </x:c>
      <x:c r="H20" s="115"/>
      <x:c r="I20" s="116" t="s">
        <x:v>1607</x:v>
      </x:c>
      <x:c r="J20" s="117" t="s">
        <x:v>1608</x:v>
      </x:c>
      <x:c r="K20" s="118"/>
      <x:c r="L20" s="119" t="s">
        <x:v>1486</x:v>
      </x:c>
      <x:c r="M20" s="120"/>
      <x:c r="N20" s="121" t="s">
        <x:v>1487</x:v>
      </x:c>
      <x:c r="O20" s="113" t="s">
        <x:v>1609</x:v>
      </x:c>
      <x:c r="P20" s="122" t="s">
        <x:v>1610</x:v>
      </x:c>
      <x:c r="Q20" s="123" t="s">
        <x:v>1555</x:v>
      </x:c>
    </x:row>
    <x:row r="21" s="9" customFormat="1" ht="30" customHeight="1">
      <x:c r="A21" s="124">
        <x:v>1</x:v>
      </x:c>
      <x:c r="B21" s="125" t="e">
        <x:f>_xlfn.XLOOKUP($A21,发票!$B:$B,发票!$C:$C,"")</x:f>
        <x:v>#NAME?</x:v>
      </x:c>
      <x:c r="C21" s="126"/>
      <x:c r="D21" s="127" t="e">
        <x:f>_xlfn.XLOOKUP($A21,发票!$B:$B,发票!$D:$D,"")</x:f>
        <x:v>#NAME?</x:v>
      </x:c>
      <x:c r="E21" s="128" t="e">
        <x:f>_xlfn.XLOOKUP($A21,发票!$B:$B,发票!$E:$E,"")</x:f>
        <x:v>#NAME?</x:v>
      </x:c>
      <x:c r="F21" s="126"/>
      <x:c r="G21" s="129" t="e">
        <x:f>_xlfn.XLOOKUP($A21,发票!$B:$B,发票!$F:$F,"")</x:f>
        <x:v>#NAME?</x:v>
      </x:c>
      <x:c r="H21" s="130" t="e">
        <x:f>_xlfn.XLOOKUP($A21,发票!$B:$B,发票!$G:$G,"")</x:f>
        <x:v>#NAME?</x:v>
      </x:c>
      <x:c r="I21" s="131" t="s">
        <x:v>1611</x:v>
      </x:c>
      <x:c r="J21" s="132" t="s">
        <x:v>1589</x:v>
      </x:c>
      <x:c r="K21" s="133"/>
      <x:c r="L21" s="134" t="e">
        <x:f>_xlfn.XLOOKUP($A21,发票!$B:$B,发票!$H:$H,"")</x:f>
        <x:v>#NAME?</x:v>
      </x:c>
      <x:c r="M21" s="133"/>
      <x:c r="N21" s="135" t="e">
        <x:f>_xlfn.XLOOKUP($A21,发票!$B:$B,发票!I:I,"")</x:f>
        <x:v>#NAME?</x:v>
      </x:c>
      <x:c r="O21" s="136" t="s">
        <x:v>1612</x:v>
      </x:c>
      <x:c r="P21" s="137" t="s">
        <x:v>1613</x:v>
      </x:c>
      <x:c r="Q21" s="135" t="e">
        <x:f>_xlfn.XLOOKUP($A21,发票!$B:$B,发票!K:K,"")</x:f>
        <x:v>#NAME?</x:v>
      </x:c>
    </x:row>
    <x:row r="22" s="9" customFormat="1" ht="30" customHeight="1">
      <x:c r="A22" s="124">
        <x:v>2</x:v>
      </x:c>
      <x:c r="B22" s="125" t="e">
        <x:f>_xlfn.XLOOKUP($A22,发票!$B:$B,发票!$C:$C,"")</x:f>
        <x:v>#NAME?</x:v>
      </x:c>
      <x:c r="C22" s="126"/>
      <x:c r="D22" s="127" t="e">
        <x:f>_xlfn.XLOOKUP($A22,发票!$B:$B,发票!$D:$D,"")</x:f>
        <x:v>#NAME?</x:v>
      </x:c>
      <x:c r="E22" s="128" t="e">
        <x:f>_xlfn.XLOOKUP($A22,发票!$B:$B,发票!$E:$E,"")</x:f>
        <x:v>#NAME?</x:v>
      </x:c>
      <x:c r="F22" s="126"/>
      <x:c r="G22" s="129" t="e">
        <x:f>_xlfn.XLOOKUP($A22,发票!$B:$B,发票!$F:$F,"")</x:f>
        <x:v>#NAME?</x:v>
      </x:c>
      <x:c r="H22" s="130" t="e">
        <x:f>_xlfn.XLOOKUP($A22,发票!$B:$B,发票!$G:$G,"")</x:f>
        <x:v>#NAME?</x:v>
      </x:c>
      <x:c r="I22" s="131" t="s">
        <x:v>1611</x:v>
      </x:c>
      <x:c r="J22" s="132" t="s">
        <x:v>1589</x:v>
      </x:c>
      <x:c r="K22" s="133"/>
      <x:c r="L22" s="134" t="e">
        <x:f>_xlfn.XLOOKUP($A22,发票!$B:$B,发票!$H:$H,"")</x:f>
        <x:v>#NAME?</x:v>
      </x:c>
      <x:c r="M22" s="133"/>
      <x:c r="N22" s="135" t="e">
        <x:f>_xlfn.XLOOKUP($A22,发票!$B:$B,发票!I:I,"")</x:f>
        <x:v>#NAME?</x:v>
      </x:c>
      <x:c r="O22" s="136" t="s">
        <x:v>1612</x:v>
      </x:c>
      <x:c r="P22" s="137" t="s">
        <x:v>1613</x:v>
      </x:c>
      <x:c r="Q22" s="135" t="e">
        <x:f>_xlfn.XLOOKUP($A22,发票!$B:$B,发票!K:K,"")</x:f>
        <x:v>#NAME?</x:v>
      </x:c>
    </x:row>
    <x:row r="23" s="9" customFormat="1" ht="30" customHeight="1">
      <x:c r="A23" s="124">
        <x:v>3</x:v>
      </x:c>
      <x:c r="B23" s="125" t="e">
        <x:f>_xlfn.XLOOKUP($A23,发票!$B:$B,发票!$C:$C,"")</x:f>
        <x:v>#NAME?</x:v>
      </x:c>
      <x:c r="C23" s="126"/>
      <x:c r="D23" s="127" t="e">
        <x:f>_xlfn.XLOOKUP($A23,发票!$B:$B,发票!$D:$D,"")</x:f>
        <x:v>#NAME?</x:v>
      </x:c>
      <x:c r="E23" s="128" t="e">
        <x:f>_xlfn.XLOOKUP($A23,发票!$B:$B,发票!$E:$E,"")</x:f>
        <x:v>#NAME?</x:v>
      </x:c>
      <x:c r="F23" s="126"/>
      <x:c r="G23" s="129" t="e">
        <x:f>_xlfn.XLOOKUP($A23,发票!$B:$B,发票!$F:$F,"")</x:f>
        <x:v>#NAME?</x:v>
      </x:c>
      <x:c r="H23" s="130" t="e">
        <x:f>_xlfn.XLOOKUP($A23,发票!$B:$B,发票!$G:$G,"")</x:f>
        <x:v>#NAME?</x:v>
      </x:c>
      <x:c r="I23" s="131" t="s">
        <x:v>1611</x:v>
      </x:c>
      <x:c r="J23" s="132" t="s">
        <x:v>1589</x:v>
      </x:c>
      <x:c r="K23" s="133"/>
      <x:c r="L23" s="134" t="e">
        <x:f>_xlfn.XLOOKUP($A23,发票!$B:$B,发票!$H:$H,"")</x:f>
        <x:v>#NAME?</x:v>
      </x:c>
      <x:c r="M23" s="133"/>
      <x:c r="N23" s="135" t="e">
        <x:f>_xlfn.XLOOKUP($A23,发票!$B:$B,发票!I:I,"")</x:f>
        <x:v>#NAME?</x:v>
      </x:c>
      <x:c r="O23" s="136" t="s">
        <x:v>1612</x:v>
      </x:c>
      <x:c r="P23" s="137" t="s">
        <x:v>1613</x:v>
      </x:c>
      <x:c r="Q23" s="135" t="e">
        <x:f>_xlfn.XLOOKUP($A23,发票!$B:$B,发票!K:K,"")</x:f>
        <x:v>#NAME?</x:v>
      </x:c>
    </x:row>
    <x:row r="24" s="9" customFormat="1" ht="30" customHeight="1">
      <x:c r="A24" s="124">
        <x:v>4</x:v>
      </x:c>
      <x:c r="B24" s="125" t="e">
        <x:f>_xlfn.XLOOKUP($A24,发票!$B:$B,发票!$C:$C,"")</x:f>
        <x:v>#NAME?</x:v>
      </x:c>
      <x:c r="C24" s="126"/>
      <x:c r="D24" s="127" t="e">
        <x:f>_xlfn.XLOOKUP($A24,发票!$B:$B,发票!$D:$D,"")</x:f>
        <x:v>#NAME?</x:v>
      </x:c>
      <x:c r="E24" s="128" t="e">
        <x:f>_xlfn.XLOOKUP($A24,发票!$B:$B,发票!$E:$E,"")</x:f>
        <x:v>#NAME?</x:v>
      </x:c>
      <x:c r="F24" s="126"/>
      <x:c r="G24" s="129" t="e">
        <x:f>_xlfn.XLOOKUP($A24,发票!$B:$B,发票!$F:$F,"")</x:f>
        <x:v>#NAME?</x:v>
      </x:c>
      <x:c r="H24" s="130" t="e">
        <x:f>_xlfn.XLOOKUP($A24,发票!$B:$B,发票!$G:$G,"")</x:f>
        <x:v>#NAME?</x:v>
      </x:c>
      <x:c r="I24" s="131" t="s">
        <x:v>1611</x:v>
      </x:c>
      <x:c r="J24" s="132" t="s">
        <x:v>1589</x:v>
      </x:c>
      <x:c r="K24" s="133"/>
      <x:c r="L24" s="134" t="e">
        <x:f>_xlfn.XLOOKUP($A24,发票!$B:$B,发票!$H:$H,"")</x:f>
        <x:v>#NAME?</x:v>
      </x:c>
      <x:c r="M24" s="133"/>
      <x:c r="N24" s="135" t="e">
        <x:f>_xlfn.XLOOKUP($A24,发票!$B:$B,发票!I:I,"")</x:f>
        <x:v>#NAME?</x:v>
      </x:c>
      <x:c r="O24" s="136" t="s">
        <x:v>1612</x:v>
      </x:c>
      <x:c r="P24" s="137" t="s">
        <x:v>1613</x:v>
      </x:c>
      <x:c r="Q24" s="135" t="e">
        <x:f>_xlfn.XLOOKUP($A24,发票!$B:$B,发票!K:K,"")</x:f>
        <x:v>#NAME?</x:v>
      </x:c>
    </x:row>
    <x:row r="25" s="9" customFormat="1" ht="30" customHeight="1">
      <x:c r="A25" s="124">
        <x:v>5</x:v>
      </x:c>
      <x:c r="B25" s="125" t="e">
        <x:f>_xlfn.XLOOKUP($A25,发票!$B:$B,发票!$C:$C,"")</x:f>
        <x:v>#NAME?</x:v>
      </x:c>
      <x:c r="C25" s="126"/>
      <x:c r="D25" s="127" t="e">
        <x:f>_xlfn.XLOOKUP($A25,发票!$B:$B,发票!$D:$D,"")</x:f>
        <x:v>#NAME?</x:v>
      </x:c>
      <x:c r="E25" s="128" t="e">
        <x:f>_xlfn.XLOOKUP($A25,发票!$B:$B,发票!$E:$E,"")</x:f>
        <x:v>#NAME?</x:v>
      </x:c>
      <x:c r="F25" s="126"/>
      <x:c r="G25" s="129" t="e">
        <x:f>_xlfn.XLOOKUP($A25,发票!$B:$B,发票!$F:$F,"")</x:f>
        <x:v>#NAME?</x:v>
      </x:c>
      <x:c r="H25" s="130" t="e">
        <x:f>_xlfn.XLOOKUP($A25,发票!$B:$B,发票!$G:$G,"")</x:f>
        <x:v>#NAME?</x:v>
      </x:c>
      <x:c r="I25" s="131" t="s">
        <x:v>1611</x:v>
      </x:c>
      <x:c r="J25" s="132" t="s">
        <x:v>1589</x:v>
      </x:c>
      <x:c r="K25" s="133"/>
      <x:c r="L25" s="134" t="e">
        <x:f>_xlfn.XLOOKUP($A25,发票!$B:$B,发票!$H:$H,"")</x:f>
        <x:v>#NAME?</x:v>
      </x:c>
      <x:c r="M25" s="133"/>
      <x:c r="N25" s="135" t="e">
        <x:f>_xlfn.XLOOKUP($A25,发票!$B:$B,发票!I:I,"")</x:f>
        <x:v>#NAME?</x:v>
      </x:c>
      <x:c r="O25" s="136" t="s">
        <x:v>1612</x:v>
      </x:c>
      <x:c r="P25" s="137" t="s">
        <x:v>1613</x:v>
      </x:c>
      <x:c r="Q25" s="135" t="e">
        <x:f>_xlfn.XLOOKUP($A25,发票!$B:$B,发票!K:K,"")</x:f>
        <x:v>#NAME?</x:v>
      </x:c>
    </x:row>
    <x:row r="26" s="9" customFormat="1" ht="30" customHeight="1">
      <x:c r="A26" s="124">
        <x:v>6</x:v>
      </x:c>
      <x:c r="B26" s="125" t="e">
        <x:f>_xlfn.XLOOKUP($A26,发票!$B:$B,发票!$C:$C,"")</x:f>
        <x:v>#NAME?</x:v>
      </x:c>
      <x:c r="C26" s="126"/>
      <x:c r="D26" s="127" t="e">
        <x:f>_xlfn.XLOOKUP($A26,发票!$B:$B,发票!$D:$D,"")</x:f>
        <x:v>#NAME?</x:v>
      </x:c>
      <x:c r="E26" s="128" t="e">
        <x:f>_xlfn.XLOOKUP($A26,发票!$B:$B,发票!$E:$E,"")</x:f>
        <x:v>#NAME?</x:v>
      </x:c>
      <x:c r="F26" s="126"/>
      <x:c r="G26" s="129" t="e">
        <x:f>_xlfn.XLOOKUP($A26,发票!$B:$B,发票!$F:$F,"")</x:f>
        <x:v>#NAME?</x:v>
      </x:c>
      <x:c r="H26" s="130" t="e">
        <x:f>_xlfn.XLOOKUP($A26,发票!$B:$B,发票!$G:$G,"")</x:f>
        <x:v>#NAME?</x:v>
      </x:c>
      <x:c r="I26" s="131" t="s">
        <x:v>1611</x:v>
      </x:c>
      <x:c r="J26" s="132" t="s">
        <x:v>1589</x:v>
      </x:c>
      <x:c r="K26" s="133"/>
      <x:c r="L26" s="134" t="e">
        <x:f>_xlfn.XLOOKUP($A26,发票!$B:$B,发票!$H:$H,"")</x:f>
        <x:v>#NAME?</x:v>
      </x:c>
      <x:c r="M26" s="133"/>
      <x:c r="N26" s="135" t="e">
        <x:f>_xlfn.XLOOKUP($A26,发票!$B:$B,发票!I:I,"")</x:f>
        <x:v>#NAME?</x:v>
      </x:c>
      <x:c r="O26" s="136" t="s">
        <x:v>1612</x:v>
      </x:c>
      <x:c r="P26" s="137" t="s">
        <x:v>1613</x:v>
      </x:c>
      <x:c r="Q26" s="135" t="e">
        <x:f>_xlfn.XLOOKUP($A26,发票!$B:$B,发票!K:K,"")</x:f>
        <x:v>#NAME?</x:v>
      </x:c>
    </x:row>
    <x:row r="27" s="9" customFormat="1" ht="30" customHeight="1">
      <x:c r="A27" s="124">
        <x:v>7</x:v>
      </x:c>
      <x:c r="B27" s="125" t="e">
        <x:f>_xlfn.XLOOKUP($A27,发票!$B:$B,发票!$C:$C,"")</x:f>
        <x:v>#NAME?</x:v>
      </x:c>
      <x:c r="C27" s="126"/>
      <x:c r="D27" s="127" t="e">
        <x:f>_xlfn.XLOOKUP($A27,发票!$B:$B,发票!$D:$D,"")</x:f>
        <x:v>#NAME?</x:v>
      </x:c>
      <x:c r="E27" s="128" t="e">
        <x:f>_xlfn.XLOOKUP($A27,发票!$B:$B,发票!$E:$E,"")</x:f>
        <x:v>#NAME?</x:v>
      </x:c>
      <x:c r="F27" s="126"/>
      <x:c r="G27" s="129" t="e">
        <x:f>_xlfn.XLOOKUP($A27,发票!$B:$B,发票!$F:$F,"")</x:f>
        <x:v>#NAME?</x:v>
      </x:c>
      <x:c r="H27" s="130" t="e">
        <x:f>_xlfn.XLOOKUP($A27,发票!$B:$B,发票!$G:$G,"")</x:f>
        <x:v>#NAME?</x:v>
      </x:c>
      <x:c r="I27" s="131" t="s">
        <x:v>1611</x:v>
      </x:c>
      <x:c r="J27" s="132" t="s">
        <x:v>1589</x:v>
      </x:c>
      <x:c r="K27" s="133"/>
      <x:c r="L27" s="134" t="e">
        <x:f>_xlfn.XLOOKUP($A27,发票!$B:$B,发票!$H:$H,"")</x:f>
        <x:v>#NAME?</x:v>
      </x:c>
      <x:c r="M27" s="133"/>
      <x:c r="N27" s="135" t="e">
        <x:f>_xlfn.XLOOKUP($A27,发票!$B:$B,发票!I:I,"")</x:f>
        <x:v>#NAME?</x:v>
      </x:c>
      <x:c r="O27" s="136" t="s">
        <x:v>1612</x:v>
      </x:c>
      <x:c r="P27" s="137" t="s">
        <x:v>1613</x:v>
      </x:c>
      <x:c r="Q27" s="135" t="e">
        <x:f>_xlfn.XLOOKUP($A27,发票!$B:$B,发票!K:K,"")</x:f>
        <x:v>#NAME?</x:v>
      </x:c>
    </x:row>
    <x:row r="28" s="9" customFormat="1" ht="30" customHeight="1">
      <x:c r="A28" s="124">
        <x:v>8</x:v>
      </x:c>
      <x:c r="B28" s="125" t="e">
        <x:f>_xlfn.XLOOKUP($A28,发票!$B:$B,发票!$C:$C,"")</x:f>
        <x:v>#NAME?</x:v>
      </x:c>
      <x:c r="C28" s="126"/>
      <x:c r="D28" s="127" t="e">
        <x:f>_xlfn.XLOOKUP($A28,发票!$B:$B,发票!$D:$D,"")</x:f>
        <x:v>#NAME?</x:v>
      </x:c>
      <x:c r="E28" s="128" t="e">
        <x:f>_xlfn.XLOOKUP($A28,发票!$B:$B,发票!$E:$E,"")</x:f>
        <x:v>#NAME?</x:v>
      </x:c>
      <x:c r="F28" s="126"/>
      <x:c r="G28" s="129" t="e">
        <x:f>_xlfn.XLOOKUP($A28,发票!$B:$B,发票!$F:$F,"")</x:f>
        <x:v>#NAME?</x:v>
      </x:c>
      <x:c r="H28" s="130" t="e">
        <x:f>_xlfn.XLOOKUP($A28,发票!$B:$B,发票!$G:$G,"")</x:f>
        <x:v>#NAME?</x:v>
      </x:c>
      <x:c r="I28" s="131" t="s">
        <x:v>1611</x:v>
      </x:c>
      <x:c r="J28" s="132" t="s">
        <x:v>1589</x:v>
      </x:c>
      <x:c r="K28" s="133"/>
      <x:c r="L28" s="134" t="e">
        <x:f>_xlfn.XLOOKUP($A28,发票!$B:$B,发票!$H:$H,"")</x:f>
        <x:v>#NAME?</x:v>
      </x:c>
      <x:c r="M28" s="133"/>
      <x:c r="N28" s="135" t="e">
        <x:f>_xlfn.XLOOKUP($A28,发票!$B:$B,发票!I:I,"")</x:f>
        <x:v>#NAME?</x:v>
      </x:c>
      <x:c r="O28" s="136" t="s">
        <x:v>1612</x:v>
      </x:c>
      <x:c r="P28" s="137" t="s">
        <x:v>1613</x:v>
      </x:c>
      <x:c r="Q28" s="135" t="e">
        <x:f>_xlfn.XLOOKUP($A28,发票!$B:$B,发票!K:K,"")</x:f>
        <x:v>#NAME?</x:v>
      </x:c>
    </x:row>
    <x:row r="29" s="9" customFormat="1" ht="30" customHeight="1">
      <x:c r="A29" s="124">
        <x:v>9</x:v>
      </x:c>
      <x:c r="B29" s="125" t="e">
        <x:f>_xlfn.XLOOKUP($A29,发票!$B:$B,发票!$C:$C,"")</x:f>
        <x:v>#NAME?</x:v>
      </x:c>
      <x:c r="C29" s="126"/>
      <x:c r="D29" s="127" t="e">
        <x:f>_xlfn.XLOOKUP($A29,发票!$B:$B,发票!$D:$D,"")</x:f>
        <x:v>#NAME?</x:v>
      </x:c>
      <x:c r="E29" s="128" t="e">
        <x:f>_xlfn.XLOOKUP($A29,发票!$B:$B,发票!$E:$E,"")</x:f>
        <x:v>#NAME?</x:v>
      </x:c>
      <x:c r="F29" s="126"/>
      <x:c r="G29" s="129" t="e">
        <x:f>_xlfn.XLOOKUP($A29,发票!$B:$B,发票!$F:$F,"")</x:f>
        <x:v>#NAME?</x:v>
      </x:c>
      <x:c r="H29" s="130" t="e">
        <x:f>_xlfn.XLOOKUP($A29,发票!$B:$B,发票!$G:$G,"")</x:f>
        <x:v>#NAME?</x:v>
      </x:c>
      <x:c r="I29" s="131" t="s">
        <x:v>1611</x:v>
      </x:c>
      <x:c r="J29" s="132" t="s">
        <x:v>1589</x:v>
      </x:c>
      <x:c r="K29" s="133"/>
      <x:c r="L29" s="134" t="e">
        <x:f>_xlfn.XLOOKUP($A29,发票!$B:$B,发票!$H:$H,"")</x:f>
        <x:v>#NAME?</x:v>
      </x:c>
      <x:c r="M29" s="133"/>
      <x:c r="N29" s="135" t="e">
        <x:f>_xlfn.XLOOKUP($A29,发票!$B:$B,发票!I:I,"")</x:f>
        <x:v>#NAME?</x:v>
      </x:c>
      <x:c r="O29" s="136" t="s">
        <x:v>1612</x:v>
      </x:c>
      <x:c r="P29" s="137" t="s">
        <x:v>1613</x:v>
      </x:c>
      <x:c r="Q29" s="135" t="e">
        <x:f>_xlfn.XLOOKUP($A29,发票!$B:$B,发票!K:K,"")</x:f>
        <x:v>#NAME?</x:v>
      </x:c>
    </x:row>
    <x:row r="30" s="9" customFormat="1" ht="30" customHeight="1">
      <x:c r="A30" s="124">
        <x:v>10</x:v>
      </x:c>
      <x:c r="B30" s="125" t="e">
        <x:f>_xlfn.XLOOKUP($A30,发票!$B:$B,发票!$C:$C,"")</x:f>
        <x:v>#NAME?</x:v>
      </x:c>
      <x:c r="C30" s="126"/>
      <x:c r="D30" s="127" t="e">
        <x:f>_xlfn.XLOOKUP($A30,发票!$B:$B,发票!$D:$D,"")</x:f>
        <x:v>#NAME?</x:v>
      </x:c>
      <x:c r="E30" s="128" t="e">
        <x:f>_xlfn.XLOOKUP($A30,发票!$B:$B,发票!$E:$E,"")</x:f>
        <x:v>#NAME?</x:v>
      </x:c>
      <x:c r="F30" s="126"/>
      <x:c r="G30" s="129" t="e">
        <x:f>_xlfn.XLOOKUP($A30,发票!$B:$B,发票!$F:$F,"")</x:f>
        <x:v>#NAME?</x:v>
      </x:c>
      <x:c r="H30" s="130" t="e">
        <x:f>_xlfn.XLOOKUP($A30,发票!$B:$B,发票!$G:$G,"")</x:f>
        <x:v>#NAME?</x:v>
      </x:c>
      <x:c r="I30" s="131" t="s">
        <x:v>1611</x:v>
      </x:c>
      <x:c r="J30" s="132" t="s">
        <x:v>1589</x:v>
      </x:c>
      <x:c r="K30" s="133"/>
      <x:c r="L30" s="134" t="e">
        <x:f>_xlfn.XLOOKUP($A30,发票!$B:$B,发票!$H:$H,"")</x:f>
        <x:v>#NAME?</x:v>
      </x:c>
      <x:c r="M30" s="133"/>
      <x:c r="N30" s="135" t="e">
        <x:f>_xlfn.XLOOKUP($A30,发票!$B:$B,发票!I:I,"")</x:f>
        <x:v>#NAME?</x:v>
      </x:c>
      <x:c r="O30" s="136" t="s">
        <x:v>1612</x:v>
      </x:c>
      <x:c r="P30" s="137" t="s">
        <x:v>1613</x:v>
      </x:c>
      <x:c r="Q30" s="135" t="e">
        <x:f>_xlfn.XLOOKUP($A30,发票!$B:$B,发票!K:K,"")</x:f>
        <x:v>#NAME?</x:v>
      </x:c>
    </x:row>
    <x:row r="31" s="9" customFormat="1" ht="30" customHeight="1">
      <x:c r="A31" s="124">
        <x:v>11</x:v>
      </x:c>
      <x:c r="B31" s="125" t="e">
        <x:f>_xlfn.XLOOKUP($A31,发票!$B:$B,发票!$C:$C,"")</x:f>
        <x:v>#NAME?</x:v>
      </x:c>
      <x:c r="C31" s="126"/>
      <x:c r="D31" s="127" t="e">
        <x:f>_xlfn.XLOOKUP($A31,发票!$B:$B,发票!$D:$D,"")</x:f>
        <x:v>#NAME?</x:v>
      </x:c>
      <x:c r="E31" s="128" t="e">
        <x:f>_xlfn.XLOOKUP($A31,发票!$B:$B,发票!$E:$E,"")</x:f>
        <x:v>#NAME?</x:v>
      </x:c>
      <x:c r="F31" s="126"/>
      <x:c r="G31" s="129" t="e">
        <x:f>_xlfn.XLOOKUP($A31,发票!$B:$B,发票!$F:$F,"")</x:f>
        <x:v>#NAME?</x:v>
      </x:c>
      <x:c r="H31" s="130" t="e">
        <x:f>_xlfn.XLOOKUP($A31,发票!$B:$B,发票!$G:$G,"")</x:f>
        <x:v>#NAME?</x:v>
      </x:c>
      <x:c r="I31" s="131" t="s">
        <x:v>1611</x:v>
      </x:c>
      <x:c r="J31" s="132" t="s">
        <x:v>1589</x:v>
      </x:c>
      <x:c r="K31" s="133"/>
      <x:c r="L31" s="134" t="e">
        <x:f>_xlfn.XLOOKUP($A31,发票!$B:$B,发票!$H:$H,"")</x:f>
        <x:v>#NAME?</x:v>
      </x:c>
      <x:c r="M31" s="133"/>
      <x:c r="N31" s="135" t="e">
        <x:f>_xlfn.XLOOKUP($A31,发票!$B:$B,发票!I:I,"")</x:f>
        <x:v>#NAME?</x:v>
      </x:c>
      <x:c r="O31" s="136" t="s">
        <x:v>1612</x:v>
      </x:c>
      <x:c r="P31" s="137" t="s">
        <x:v>1613</x:v>
      </x:c>
      <x:c r="Q31" s="135" t="e">
        <x:f>_xlfn.XLOOKUP($A31,发票!$B:$B,发票!K:K,"")</x:f>
        <x:v>#NAME?</x:v>
      </x:c>
    </x:row>
    <x:row r="32" s="9" customFormat="1" ht="30" customHeight="1">
      <x:c r="A32" s="124">
        <x:v>12</x:v>
      </x:c>
      <x:c r="B32" s="125" t="e">
        <x:f>_xlfn.XLOOKUP($A32,发票!$B:$B,发票!$C:$C,"")</x:f>
        <x:v>#NAME?</x:v>
      </x:c>
      <x:c r="C32" s="126"/>
      <x:c r="D32" s="127" t="e">
        <x:f>_xlfn.XLOOKUP($A32,发票!$B:$B,发票!$D:$D,"")</x:f>
        <x:v>#NAME?</x:v>
      </x:c>
      <x:c r="E32" s="128" t="e">
        <x:f>_xlfn.XLOOKUP($A32,发票!$B:$B,发票!$E:$E,"")</x:f>
        <x:v>#NAME?</x:v>
      </x:c>
      <x:c r="F32" s="126"/>
      <x:c r="G32" s="129" t="e">
        <x:f>_xlfn.XLOOKUP($A32,发票!$B:$B,发票!$F:$F,"")</x:f>
        <x:v>#NAME?</x:v>
      </x:c>
      <x:c r="H32" s="130" t="e">
        <x:f>_xlfn.XLOOKUP($A32,发票!$B:$B,发票!$G:$G,"")</x:f>
        <x:v>#NAME?</x:v>
      </x:c>
      <x:c r="I32" s="131" t="s">
        <x:v>1611</x:v>
      </x:c>
      <x:c r="J32" s="132" t="s">
        <x:v>1589</x:v>
      </x:c>
      <x:c r="K32" s="133"/>
      <x:c r="L32" s="134" t="e">
        <x:f>_xlfn.XLOOKUP($A32,发票!$B:$B,发票!$H:$H,"")</x:f>
        <x:v>#NAME?</x:v>
      </x:c>
      <x:c r="M32" s="133"/>
      <x:c r="N32" s="135" t="e">
        <x:f>_xlfn.XLOOKUP($A32,发票!$B:$B,发票!I:I,"")</x:f>
        <x:v>#NAME?</x:v>
      </x:c>
      <x:c r="O32" s="136" t="s">
        <x:v>1612</x:v>
      </x:c>
      <x:c r="P32" s="137" t="s">
        <x:v>1613</x:v>
      </x:c>
      <x:c r="Q32" s="135" t="e">
        <x:f>_xlfn.XLOOKUP($A32,发票!$B:$B,发票!K:K,"")</x:f>
        <x:v>#NAME?</x:v>
      </x:c>
    </x:row>
    <x:row r="33" s="9" customFormat="1" ht="30" customHeight="1">
      <x:c r="A33" s="124"/>
      <x:c r="B33" s="125"/>
      <x:c r="C33" s="126"/>
      <x:c r="D33" s="127"/>
      <x:c r="E33" s="128"/>
      <x:c r="F33" s="126"/>
      <x:c r="G33" s="129"/>
      <x:c r="H33" s="130"/>
      <x:c r="I33" s="131"/>
      <x:c r="J33" s="132"/>
      <x:c r="K33" s="133"/>
      <x:c r="L33" s="134"/>
      <x:c r="M33" s="133"/>
      <x:c r="N33" s="135"/>
      <x:c r="O33" s="136"/>
      <x:c r="P33" s="137"/>
      <x:c r="Q33" s="135"/>
    </x:row>
    <x:row r="34" s="9" customFormat="1" ht="30" customHeight="1">
      <x:c r="A34" s="124"/>
      <x:c r="B34" s="125"/>
      <x:c r="C34" s="126"/>
      <x:c r="D34" s="127"/>
      <x:c r="E34" s="128"/>
      <x:c r="F34" s="126"/>
      <x:c r="G34" s="129"/>
      <x:c r="H34" s="130"/>
      <x:c r="I34" s="131"/>
      <x:c r="J34" s="132"/>
      <x:c r="K34" s="133"/>
      <x:c r="L34" s="134"/>
      <x:c r="M34" s="133"/>
      <x:c r="N34" s="135"/>
      <x:c r="O34" s="136"/>
      <x:c r="P34" s="137"/>
      <x:c r="Q34" s="135"/>
    </x:row>
    <x:row r="35" s="9" customFormat="1" ht="30" customHeight="1">
      <x:c r="A35" s="124"/>
      <x:c r="B35" s="125"/>
      <x:c r="C35" s="126"/>
      <x:c r="D35" s="127"/>
      <x:c r="E35" s="128"/>
      <x:c r="F35" s="126"/>
      <x:c r="G35" s="129"/>
      <x:c r="H35" s="130"/>
      <x:c r="I35" s="131"/>
      <x:c r="J35" s="132"/>
      <x:c r="K35" s="133"/>
      <x:c r="L35" s="134"/>
      <x:c r="M35" s="133"/>
      <x:c r="N35" s="135"/>
      <x:c r="O35" s="136"/>
      <x:c r="P35" s="137"/>
      <x:c r="Q35" s="135"/>
    </x:row>
    <x:row r="36" s="9" customFormat="1" ht="30" customHeight="1">
      <x:c r="A36" s="124"/>
      <x:c r="B36" s="125"/>
      <x:c r="C36" s="126"/>
      <x:c r="D36" s="127"/>
      <x:c r="E36" s="128"/>
      <x:c r="F36" s="126"/>
      <x:c r="G36" s="129"/>
      <x:c r="H36" s="130"/>
      <x:c r="I36" s="131"/>
      <x:c r="J36" s="132"/>
      <x:c r="K36" s="133"/>
      <x:c r="L36" s="134"/>
      <x:c r="M36" s="133"/>
      <x:c r="N36" s="135"/>
      <x:c r="O36" s="136"/>
      <x:c r="P36" s="137"/>
      <x:c r="Q36" s="135"/>
    </x:row>
    <x:row r="37" s="9" customFormat="1" ht="30" customHeight="1">
      <x:c r="A37" s="124"/>
      <x:c r="B37" s="125"/>
      <x:c r="C37" s="126"/>
      <x:c r="D37" s="127"/>
      <x:c r="E37" s="128"/>
      <x:c r="F37" s="126"/>
      <x:c r="G37" s="129"/>
      <x:c r="H37" s="130"/>
      <x:c r="I37" s="131"/>
      <x:c r="J37" s="132"/>
      <x:c r="K37" s="133"/>
      <x:c r="L37" s="134"/>
      <x:c r="M37" s="133"/>
      <x:c r="N37" s="135"/>
      <x:c r="O37" s="136"/>
      <x:c r="P37" s="137"/>
      <x:c r="Q37" s="135"/>
    </x:row>
    <x:row r="38" s="9" customFormat="1" ht="30" customHeight="1">
      <x:c r="A38" s="124"/>
      <x:c r="B38" s="125"/>
      <x:c r="C38" s="126"/>
      <x:c r="D38" s="127"/>
      <x:c r="E38" s="128"/>
      <x:c r="F38" s="126"/>
      <x:c r="G38" s="129"/>
      <x:c r="H38" s="130"/>
      <x:c r="I38" s="131"/>
      <x:c r="J38" s="132"/>
      <x:c r="K38" s="133"/>
      <x:c r="L38" s="134"/>
      <x:c r="M38" s="133"/>
      <x:c r="N38" s="135"/>
      <x:c r="O38" s="136"/>
      <x:c r="P38" s="137"/>
      <x:c r="Q38" s="135"/>
    </x:row>
    <x:row r="39" s="9" customFormat="1" ht="30" customHeight="1">
      <x:c r="A39" s="124"/>
      <x:c r="B39" s="125"/>
      <x:c r="C39" s="126"/>
      <x:c r="D39" s="127"/>
      <x:c r="E39" s="128"/>
      <x:c r="F39" s="126"/>
      <x:c r="G39" s="129"/>
      <x:c r="H39" s="130"/>
      <x:c r="I39" s="131"/>
      <x:c r="J39" s="132"/>
      <x:c r="K39" s="133"/>
      <x:c r="L39" s="134"/>
      <x:c r="M39" s="133"/>
      <x:c r="N39" s="135"/>
      <x:c r="O39" s="136"/>
      <x:c r="P39" s="137"/>
      <x:c r="Q39" s="135"/>
    </x:row>
    <x:row r="40" s="9" customFormat="1" ht="30" customHeight="1">
      <x:c r="A40" s="124"/>
      <x:c r="B40" s="125"/>
      <x:c r="C40" s="126"/>
      <x:c r="D40" s="127"/>
      <x:c r="E40" s="128"/>
      <x:c r="F40" s="126"/>
      <x:c r="G40" s="129"/>
      <x:c r="H40" s="130"/>
      <x:c r="I40" s="131"/>
      <x:c r="J40" s="132"/>
      <x:c r="K40" s="133"/>
      <x:c r="L40" s="134"/>
      <x:c r="M40" s="133"/>
      <x:c r="N40" s="135"/>
      <x:c r="O40" s="136"/>
      <x:c r="P40" s="137"/>
      <x:c r="Q40" s="135"/>
    </x:row>
    <x:row r="41" s="9" customFormat="1" ht="30" customHeight="1">
      <x:c r="A41" s="124"/>
      <x:c r="B41" s="125"/>
      <x:c r="C41" s="126"/>
      <x:c r="D41" s="127"/>
      <x:c r="E41" s="128"/>
      <x:c r="F41" s="126"/>
      <x:c r="G41" s="129"/>
      <x:c r="H41" s="130"/>
      <x:c r="I41" s="131"/>
      <x:c r="J41" s="132"/>
      <x:c r="K41" s="133"/>
      <x:c r="L41" s="134"/>
      <x:c r="M41" s="133"/>
      <x:c r="N41" s="135"/>
      <x:c r="O41" s="136"/>
      <x:c r="P41" s="137"/>
      <x:c r="Q41" s="135"/>
    </x:row>
    <x:row r="42" s="9" customFormat="1" ht="30" customHeight="1">
      <x:c r="A42" s="124"/>
      <x:c r="B42" s="125"/>
      <x:c r="C42" s="126"/>
      <x:c r="D42" s="138"/>
      <x:c r="E42" s="139"/>
      <x:c r="F42" s="126"/>
      <x:c r="G42" s="129"/>
      <x:c r="H42" s="132"/>
      <x:c r="I42" s="131"/>
      <x:c r="J42" s="132"/>
      <x:c r="K42" s="133"/>
      <x:c r="L42" s="134"/>
      <x:c r="M42" s="133"/>
      <x:c r="N42" s="135"/>
      <x:c r="O42" s="136"/>
      <x:c r="P42" s="137"/>
      <x:c r="Q42" s="140"/>
    </x:row>
    <x:row r="43" s="9" customFormat="1" ht="30" customHeight="1">
      <x:c r="A43" s="124"/>
      <x:c r="B43" s="125"/>
      <x:c r="C43" s="126"/>
      <x:c r="D43" s="138"/>
      <x:c r="E43" s="139"/>
      <x:c r="F43" s="126"/>
      <x:c r="G43" s="129"/>
      <x:c r="H43" s="132"/>
      <x:c r="I43" s="131"/>
      <x:c r="J43" s="132"/>
      <x:c r="K43" s="133"/>
      <x:c r="L43" s="134"/>
      <x:c r="M43" s="133"/>
      <x:c r="N43" s="135"/>
      <x:c r="O43" s="136"/>
      <x:c r="P43" s="137"/>
      <x:c r="Q43" s="140"/>
    </x:row>
    <x:row r="44" s="9" customFormat="1" ht="30" customHeight="1">
      <x:c r="A44" s="124"/>
      <x:c r="B44" s="125"/>
      <x:c r="C44" s="126"/>
      <x:c r="D44" s="138"/>
      <x:c r="E44" s="139"/>
      <x:c r="F44" s="126"/>
      <x:c r="G44" s="129"/>
      <x:c r="H44" s="132"/>
      <x:c r="I44" s="131"/>
      <x:c r="J44" s="132"/>
      <x:c r="K44" s="133"/>
      <x:c r="L44" s="134"/>
      <x:c r="M44" s="133"/>
      <x:c r="N44" s="135"/>
      <x:c r="O44" s="136"/>
      <x:c r="P44" s="137"/>
      <x:c r="Q44" s="140"/>
    </x:row>
    <x:row r="45" s="9" customFormat="1" ht="30" customHeight="1">
      <x:c r="A45" s="124"/>
      <x:c r="B45" s="125"/>
      <x:c r="C45" s="126"/>
      <x:c r="D45" s="138"/>
      <x:c r="E45" s="139"/>
      <x:c r="F45" s="126"/>
      <x:c r="G45" s="129"/>
      <x:c r="H45" s="132"/>
      <x:c r="I45" s="131"/>
      <x:c r="J45" s="132"/>
      <x:c r="K45" s="133"/>
      <x:c r="L45" s="134"/>
      <x:c r="M45" s="133"/>
      <x:c r="N45" s="135"/>
      <x:c r="O45" s="136"/>
      <x:c r="P45" s="137"/>
      <x:c r="Q45" s="140"/>
    </x:row>
    <x:row r="46" s="9" customFormat="1" ht="30" customHeight="1">
      <x:c r="A46" s="124"/>
      <x:c r="B46" s="125"/>
      <x:c r="C46" s="126"/>
      <x:c r="D46" s="138"/>
      <x:c r="E46" s="139"/>
      <x:c r="F46" s="126"/>
      <x:c r="G46" s="129"/>
      <x:c r="H46" s="132"/>
      <x:c r="I46" s="131"/>
      <x:c r="J46" s="132"/>
      <x:c r="K46" s="133"/>
      <x:c r="L46" s="134"/>
      <x:c r="M46" s="133"/>
      <x:c r="N46" s="135"/>
      <x:c r="O46" s="136"/>
      <x:c r="P46" s="137"/>
      <x:c r="Q46" s="140"/>
    </x:row>
    <x:row r="47" s="9" customFormat="1" ht="30" customHeight="1">
      <x:c r="A47" s="124"/>
      <x:c r="B47" s="125"/>
      <x:c r="C47" s="126"/>
      <x:c r="D47" s="138"/>
      <x:c r="E47" s="139"/>
      <x:c r="F47" s="126"/>
      <x:c r="G47" s="129"/>
      <x:c r="H47" s="132"/>
      <x:c r="I47" s="131"/>
      <x:c r="J47" s="132"/>
      <x:c r="K47" s="133"/>
      <x:c r="L47" s="134"/>
      <x:c r="M47" s="133"/>
      <x:c r="N47" s="135"/>
      <x:c r="O47" s="136"/>
      <x:c r="P47" s="137"/>
      <x:c r="Q47" s="140"/>
    </x:row>
    <x:row r="48" s="9" customFormat="1" ht="30" customHeight="1">
      <x:c r="A48" s="124"/>
      <x:c r="B48" s="125"/>
      <x:c r="C48" s="126"/>
      <x:c r="D48" s="138"/>
      <x:c r="E48" s="139"/>
      <x:c r="F48" s="126"/>
      <x:c r="G48" s="129"/>
      <x:c r="H48" s="132"/>
      <x:c r="I48" s="131"/>
      <x:c r="J48" s="132"/>
      <x:c r="K48" s="133"/>
      <x:c r="L48" s="134"/>
      <x:c r="M48" s="133"/>
      <x:c r="N48" s="135"/>
      <x:c r="O48" s="136"/>
      <x:c r="P48" s="137"/>
      <x:c r="Q48" s="140"/>
    </x:row>
    <x:row r="49" s="9" customFormat="1" ht="30" customHeight="1">
      <x:c r="A49" s="124"/>
      <x:c r="B49" s="125"/>
      <x:c r="C49" s="126"/>
      <x:c r="D49" s="138"/>
      <x:c r="E49" s="139"/>
      <x:c r="F49" s="126"/>
      <x:c r="G49" s="129"/>
      <x:c r="H49" s="132"/>
      <x:c r="I49" s="131"/>
      <x:c r="J49" s="132"/>
      <x:c r="K49" s="133"/>
      <x:c r="L49" s="134"/>
      <x:c r="M49" s="133"/>
      <x:c r="N49" s="135"/>
      <x:c r="O49" s="136"/>
      <x:c r="P49" s="137"/>
      <x:c r="Q49" s="140"/>
    </x:row>
    <x:row r="50" s="9" customFormat="1" ht="30" customHeight="1">
      <x:c r="A50" s="124"/>
      <x:c r="B50" s="125"/>
      <x:c r="C50" s="126"/>
      <x:c r="D50" s="138"/>
      <x:c r="E50" s="139"/>
      <x:c r="F50" s="126"/>
      <x:c r="G50" s="129"/>
      <x:c r="H50" s="132"/>
      <x:c r="I50" s="131"/>
      <x:c r="J50" s="132"/>
      <x:c r="K50" s="133"/>
      <x:c r="L50" s="134"/>
      <x:c r="M50" s="133"/>
      <x:c r="N50" s="135"/>
      <x:c r="O50" s="136"/>
      <x:c r="P50" s="137"/>
      <x:c r="Q50" s="140"/>
    </x:row>
    <x:row r="51" ht="37.5" customHeight="1">
      <x:c r="A51" s="124"/>
      <x:c r="B51" s="125"/>
      <x:c r="C51" s="126"/>
      <x:c r="D51" s="138"/>
      <x:c r="E51" s="139"/>
      <x:c r="F51" s="126"/>
      <x:c r="G51" s="129"/>
      <x:c r="H51" s="132"/>
      <x:c r="I51" s="131"/>
      <x:c r="J51" s="132"/>
      <x:c r="K51" s="133"/>
      <x:c r="L51" s="134"/>
      <x:c r="M51" s="133"/>
      <x:c r="N51" s="135"/>
      <x:c r="O51" s="136"/>
      <x:c r="P51" s="137"/>
      <x:c r="Q51" s="140"/>
    </x:row>
    <x:row r="52" ht="30" customHeight="1">
      <x:c r="A52" s="124"/>
      <x:c r="B52" s="125"/>
      <x:c r="C52" s="126"/>
      <x:c r="D52" s="141"/>
      <x:c r="E52" s="142"/>
      <x:c r="F52" s="143"/>
      <x:c r="G52" s="144"/>
      <x:c r="H52" s="132"/>
      <x:c r="I52" s="131"/>
      <x:c r="J52" s="132"/>
      <x:c r="K52" s="133"/>
      <x:c r="L52" s="145"/>
      <x:c r="M52" s="133"/>
      <x:c r="N52" s="146" t="e">
        <x:f>SUM(N21:N51)</x:f>
        <x:v>#NAME?</x:v>
      </x:c>
      <x:c r="O52" s="147"/>
      <x:c r="P52" s="148"/>
      <x:c r="Q52" s="140" t="e">
        <x:f>SUM(Q21:Q51)</x:f>
        <x:v>#NAME?</x:v>
      </x:c>
    </x:row>
    <x:row r="53" ht="27.75" customHeight="1">
      <x:c r="A53" s="149" t="s">
        <x:v>1614</x:v>
      </x:c>
      <x:c r="B53" s="150"/>
      <x:c r="C53" s="150"/>
      <x:c r="D53" s="150"/>
      <x:c r="E53" s="150"/>
      <x:c r="F53" s="150"/>
      <x:c r="G53" s="151"/>
      <x:c r="H53" s="150"/>
      <x:c r="I53" s="150"/>
      <x:c r="J53" s="150"/>
      <x:c r="K53" s="150"/>
      <x:c r="L53" s="152"/>
      <x:c r="M53" s="153"/>
      <x:c r="N53" s="154"/>
      <x:c r="O53" s="153"/>
      <x:c r="P53" s="155"/>
    </x:row>
    <x:row r="54" ht="27.75" customHeight="1">
      <x:c r="A54" s="156"/>
      <x:c r="B54" s="157"/>
      <x:c r="C54" s="157"/>
      <x:c r="D54" s="157"/>
      <x:c r="E54" s="157"/>
      <x:c r="F54" s="157"/>
      <x:c r="G54" s="158"/>
      <x:c r="H54" s="157"/>
      <x:c r="I54" s="157"/>
      <x:c r="J54" s="157"/>
      <x:c r="K54" s="157"/>
      <x:c r="L54" s="157"/>
      <x:c r="M54" s="157"/>
      <x:c r="N54" s="157"/>
      <x:c r="O54" s="157"/>
      <x:c r="P54" s="159"/>
    </x:row>
    <x:row r="55" ht="27.75" customHeight="1">
      <x:c r="A55" s="160"/>
      <x:c r="B55" s="161"/>
      <x:c r="C55" s="161"/>
      <x:c r="D55" s="161"/>
      <x:c r="E55" s="161"/>
      <x:c r="F55" s="161"/>
      <x:c r="G55" s="162"/>
      <x:c r="H55" s="161"/>
      <x:c r="I55" s="161"/>
      <x:c r="J55" s="161"/>
      <x:c r="K55" s="161"/>
      <x:c r="L55" s="161"/>
      <x:c r="M55" s="161"/>
      <x:c r="N55" s="161"/>
      <x:c r="O55" s="161"/>
      <x:c r="P55" s="163"/>
    </x:row>
    <x:row r="56" ht="13.5">
      <x:c r="A56" s="164" t="s">
        <x:v>1615</x:v>
      </x:c>
      <x:c r="B56" s="165"/>
      <x:c r="C56" s="165"/>
      <x:c r="D56" s="165"/>
      <x:c r="E56" s="166"/>
      <x:c r="F56" s="167" t="s">
        <x:v>1616</x:v>
      </x:c>
      <x:c r="G56" s="57"/>
      <x:c r="H56" s="41"/>
      <x:c r="I56" s="41"/>
      <x:c r="J56" s="43"/>
      <x:c r="K56" s="167" t="s">
        <x:v>1617</x:v>
      </x:c>
      <x:c r="L56" s="41"/>
      <x:c r="M56" s="41"/>
      <x:c r="N56" s="41"/>
      <x:c r="O56" s="41"/>
      <x:c r="P56" s="43"/>
    </x:row>
    <x:row r="57" ht="15">
      <x:c r="A57" s="168"/>
      <x:c r="B57" s="169"/>
      <x:c r="C57" s="169"/>
      <x:c r="D57" s="170"/>
      <x:c r="E57" s="171"/>
      <x:c r="F57" s="172"/>
      <x:c r="G57" s="173"/>
      <x:c r="H57" s="174"/>
      <x:c r="I57" s="174"/>
      <x:c r="J57" s="175"/>
      <x:c r="K57" s="176"/>
      <x:c r="L57" s="176"/>
      <x:c r="M57" s="176"/>
      <x:c r="N57" s="176"/>
      <x:c r="O57" s="177"/>
      <x:c r="P57" s="178"/>
    </x:row>
    <x:row r="58" ht="15">
      <x:c r="A58" s="179" t="s">
        <x:v>1618</x:v>
      </x:c>
      <x:c r="B58" s="180"/>
      <x:c r="C58" s="180"/>
      <x:c r="D58" s="172"/>
      <x:c r="E58" s="172"/>
      <x:c r="F58" s="172"/>
      <x:c r="G58" s="173"/>
      <x:c r="H58" s="174"/>
      <x:c r="I58" s="174"/>
      <x:c r="J58" s="175"/>
      <x:c r="K58" s="181" t="s">
        <x:v>1619</x:v>
      </x:c>
      <x:c r="L58" s="100"/>
      <x:c r="M58" s="182"/>
      <x:c r="N58" s="182" t="s">
        <x:v>1620</x:v>
      </x:c>
      <x:c r="O58" s="177"/>
      <x:c r="P58" s="183"/>
    </x:row>
    <x:row r="59" ht="15">
      <x:c r="A59" s="184"/>
      <x:c r="B59" s="180"/>
      <x:c r="C59" s="180"/>
      <x:c r="D59" s="172"/>
      <x:c r="E59" s="172"/>
      <x:c r="F59" s="185" t="s">
        <x:v>1621</x:v>
      </x:c>
      <x:c r="G59" s="185"/>
      <x:c r="H59" s="185"/>
      <x:c r="I59" s="185"/>
      <x:c r="J59" s="175"/>
      <x:c r="K59" s="186"/>
      <x:c r="L59" s="187"/>
      <x:c r="M59" s="187"/>
      <x:c r="N59" s="187"/>
      <x:c r="O59" s="188"/>
      <x:c r="P59" s="189"/>
    </x:row>
    <x:row r="60" ht="15">
      <x:c r="A60" s="184"/>
      <x:c r="B60" s="180"/>
      <x:c r="C60" s="180"/>
      <x:c r="D60" s="172"/>
      <x:c r="E60" s="172"/>
      <x:c r="F60" s="172"/>
      <x:c r="G60" s="190"/>
      <x:c r="H60" s="174"/>
      <x:c r="I60" s="174"/>
      <x:c r="J60" s="175"/>
      <x:c r="K60" s="191" t="s">
        <x:v>1622</x:v>
      </x:c>
      <x:c r="L60" s="153"/>
      <x:c r="M60" s="176"/>
      <x:c r="N60" s="176" t="s">
        <x:v>1623</x:v>
      </x:c>
      <x:c r="O60" s="177"/>
      <x:c r="P60" s="183"/>
    </x:row>
    <x:row r="61" ht="15">
      <x:c r="A61" s="179" t="s">
        <x:v>1624</x:v>
      </x:c>
      <x:c r="B61" s="180"/>
      <x:c r="C61" s="180"/>
      <x:c r="D61" s="172"/>
      <x:c r="E61" s="172"/>
      <x:c r="F61" s="172"/>
      <x:c r="G61" s="190"/>
      <x:c r="H61" s="174"/>
      <x:c r="I61" s="174"/>
      <x:c r="J61" s="175"/>
      <x:c r="K61" s="186"/>
      <x:c r="L61" s="187"/>
      <x:c r="M61" s="187"/>
      <x:c r="N61" s="187"/>
      <x:c r="O61" s="188"/>
      <x:c r="P61" s="189"/>
    </x:row>
    <x:row r="62" ht="15">
      <x:c r="A62" s="184"/>
      <x:c r="B62" s="180"/>
      <x:c r="C62" s="180"/>
      <x:c r="D62" s="172"/>
      <x:c r="E62" s="172"/>
      <x:c r="F62" s="172"/>
      <x:c r="G62" s="190"/>
      <x:c r="H62" s="174"/>
      <x:c r="I62" s="174"/>
      <x:c r="J62" s="175"/>
      <x:c r="K62" s="191" t="s">
        <x:v>1625</x:v>
      </x:c>
      <x:c r="L62" s="153"/>
      <x:c r="M62" s="176"/>
      <x:c r="N62" s="176" t="s">
        <x:v>1626</x:v>
      </x:c>
      <x:c r="O62" s="176"/>
      <x:c r="P62" s="192"/>
    </x:row>
    <x:row r="63" ht="15">
      <x:c r="A63" s="193" t="s">
        <x:v>1627</x:v>
      </x:c>
      <x:c r="B63" s="169"/>
      <x:c r="C63" s="169"/>
      <x:c r="D63" s="194" t="s">
        <x:v>1628</x:v>
      </x:c>
      <x:c r="E63" s="170"/>
      <x:c r="F63" s="170"/>
      <x:c r="G63" s="195" t="s">
        <x:v>1629</x:v>
      </x:c>
      <x:c r="H63" s="196"/>
      <x:c r="I63" s="196"/>
      <x:c r="J63" s="197"/>
      <x:c r="K63" s="196"/>
      <x:c r="L63" s="196"/>
      <x:c r="M63" s="187"/>
      <x:c r="N63" s="187"/>
      <x:c r="O63" s="198"/>
      <x:c r="P63" s="199"/>
    </x:row>
  </x:sheetData>
  <x:mergeCells>
    <x:mergeCell ref="A1:P1"/>
    <x:mergeCell ref="A2:D2"/>
    <x:mergeCell ref="E2:F2"/>
    <x:mergeCell ref="G2:J2"/>
    <x:mergeCell ref="K2:L2"/>
    <x:mergeCell ref="M2:P2"/>
    <x:mergeCell ref="A3:E3"/>
    <x:mergeCell ref="F3:H3"/>
    <x:mergeCell ref="J3:L3"/>
    <x:mergeCell ref="M3:P3"/>
    <x:mergeCell ref="A4:E4"/>
    <x:mergeCell ref="F4:H4"/>
    <x:mergeCell ref="J4:L4"/>
    <x:mergeCell ref="M4:P4"/>
    <x:mergeCell ref="A5:C5"/>
    <x:mergeCell ref="D5:E5"/>
    <x:mergeCell ref="F5:G5"/>
    <x:mergeCell ref="H5:K5"/>
    <x:mergeCell ref="L5:P5"/>
    <x:mergeCell ref="A6:E6"/>
    <x:mergeCell ref="F6:G6"/>
    <x:mergeCell ref="H6:K6"/>
    <x:mergeCell ref="M6:P6"/>
    <x:mergeCell ref="A7:C7"/>
    <x:mergeCell ref="D7:E7"/>
    <x:mergeCell ref="F7:H7"/>
    <x:mergeCell ref="J7:L7"/>
    <x:mergeCell ref="M7:P7"/>
    <x:mergeCell ref="A8:E8"/>
    <x:mergeCell ref="F8:H8"/>
    <x:mergeCell ref="J8:L8"/>
    <x:mergeCell ref="M8:P8"/>
    <x:mergeCell ref="A9:D9"/>
    <x:mergeCell ref="E9:G9"/>
    <x:mergeCell ref="H9:L9"/>
    <x:mergeCell ref="M9:P9"/>
    <x:mergeCell ref="A10:D10"/>
    <x:mergeCell ref="E10:G10"/>
    <x:mergeCell ref="H10:L10"/>
    <x:mergeCell ref="M10:P10"/>
    <x:mergeCell ref="A11:D11"/>
    <x:mergeCell ref="F11:H11"/>
    <x:mergeCell ref="J11:L11"/>
    <x:mergeCell ref="M11:P11"/>
    <x:mergeCell ref="A12:D12"/>
    <x:mergeCell ref="F12:H12"/>
    <x:mergeCell ref="J12:L12"/>
    <x:mergeCell ref="M12:P12"/>
    <x:mergeCell ref="A13:D13"/>
    <x:mergeCell ref="E13:F13"/>
    <x:mergeCell ref="G13:H13"/>
    <x:mergeCell ref="I13:L13"/>
    <x:mergeCell ref="M13:P13"/>
    <x:mergeCell ref="A14:D14"/>
    <x:mergeCell ref="E14:F14"/>
    <x:mergeCell ref="G14:H14"/>
    <x:mergeCell ref="I14:L14"/>
    <x:mergeCell ref="M14:P14"/>
    <x:mergeCell ref="A15:D15"/>
    <x:mergeCell ref="E15:J15"/>
    <x:mergeCell ref="K15:P15"/>
    <x:mergeCell ref="A16:D16"/>
    <x:mergeCell ref="E16:J16"/>
    <x:mergeCell ref="K16:P16"/>
    <x:mergeCell ref="A17:C17"/>
    <x:mergeCell ref="A18:B18"/>
    <x:mergeCell ref="E18:L18"/>
    <x:mergeCell ref="B20:C20"/>
    <x:mergeCell ref="D20:F20"/>
    <x:mergeCell ref="G20:H20"/>
    <x:mergeCell ref="J20:K20"/>
    <x:mergeCell ref="L20:M20"/>
    <x:mergeCell ref="B21:C21"/>
    <x:mergeCell ref="E21:F21"/>
    <x:mergeCell ref="J21:K21"/>
    <x:mergeCell ref="L21:M21"/>
    <x:mergeCell ref="B22:C22"/>
    <x:mergeCell ref="E22:F22"/>
    <x:mergeCell ref="J22:K22"/>
    <x:mergeCell ref="L22:M22"/>
    <x:mergeCell ref="B23:C23"/>
    <x:mergeCell ref="E23:F23"/>
    <x:mergeCell ref="J23:K23"/>
    <x:mergeCell ref="L23:M23"/>
    <x:mergeCell ref="B24:C24"/>
    <x:mergeCell ref="E24:F24"/>
    <x:mergeCell ref="J24:K24"/>
    <x:mergeCell ref="L24:M24"/>
    <x:mergeCell ref="B25:C25"/>
    <x:mergeCell ref="E25:F25"/>
    <x:mergeCell ref="J25:K25"/>
    <x:mergeCell ref="L25:M25"/>
    <x:mergeCell ref="B26:C26"/>
    <x:mergeCell ref="E26:F26"/>
    <x:mergeCell ref="J26:K26"/>
    <x:mergeCell ref="L26:M26"/>
    <x:mergeCell ref="B27:C27"/>
    <x:mergeCell ref="E27:F27"/>
    <x:mergeCell ref="J27:K27"/>
    <x:mergeCell ref="L27:M27"/>
    <x:mergeCell ref="B28:C28"/>
    <x:mergeCell ref="E28:F28"/>
    <x:mergeCell ref="J28:K28"/>
    <x:mergeCell ref="L28:M28"/>
    <x:mergeCell ref="B29:C29"/>
    <x:mergeCell ref="E29:F29"/>
    <x:mergeCell ref="J29:K29"/>
    <x:mergeCell ref="L29:M29"/>
    <x:mergeCell ref="B30:C30"/>
    <x:mergeCell ref="E30:F30"/>
    <x:mergeCell ref="J30:K30"/>
    <x:mergeCell ref="L30:M30"/>
    <x:mergeCell ref="B31:C31"/>
    <x:mergeCell ref="E31:F31"/>
    <x:mergeCell ref="J31:K31"/>
    <x:mergeCell ref="L31:M31"/>
    <x:mergeCell ref="B32:C32"/>
    <x:mergeCell ref="E32:F32"/>
    <x:mergeCell ref="J32:K32"/>
    <x:mergeCell ref="L32:M32"/>
    <x:mergeCell ref="B33:C33"/>
    <x:mergeCell ref="E33:F33"/>
    <x:mergeCell ref="J33:K33"/>
    <x:mergeCell ref="L33:M33"/>
    <x:mergeCell ref="B34:C34"/>
    <x:mergeCell ref="E34:F34"/>
    <x:mergeCell ref="J34:K34"/>
    <x:mergeCell ref="L34:M34"/>
    <x:mergeCell ref="B35:C35"/>
    <x:mergeCell ref="E35:F35"/>
    <x:mergeCell ref="J35:K35"/>
    <x:mergeCell ref="L35:M35"/>
    <x:mergeCell ref="B36:C36"/>
    <x:mergeCell ref="E36:F36"/>
    <x:mergeCell ref="J36:K36"/>
    <x:mergeCell ref="L36:M36"/>
    <x:mergeCell ref="B37:C37"/>
    <x:mergeCell ref="E37:F37"/>
    <x:mergeCell ref="J37:K37"/>
    <x:mergeCell ref="L37:M37"/>
    <x:mergeCell ref="B38:C38"/>
    <x:mergeCell ref="E38:F38"/>
    <x:mergeCell ref="J38:K38"/>
    <x:mergeCell ref="L38:M38"/>
    <x:mergeCell ref="B39:C39"/>
    <x:mergeCell ref="E39:F39"/>
    <x:mergeCell ref="J39:K39"/>
    <x:mergeCell ref="L39:M39"/>
    <x:mergeCell ref="B40:C40"/>
    <x:mergeCell ref="E40:F40"/>
    <x:mergeCell ref="J40:K40"/>
    <x:mergeCell ref="L40:M40"/>
    <x:mergeCell ref="B41:C41"/>
    <x:mergeCell ref="E41:F41"/>
    <x:mergeCell ref="J41:K41"/>
    <x:mergeCell ref="L41:M41"/>
    <x:mergeCell ref="B42:C42"/>
    <x:mergeCell ref="E42:F42"/>
    <x:mergeCell ref="J42:K42"/>
    <x:mergeCell ref="L42:M42"/>
    <x:mergeCell ref="B43:C43"/>
    <x:mergeCell ref="E43:F43"/>
    <x:mergeCell ref="J43:K43"/>
    <x:mergeCell ref="L43:M43"/>
    <x:mergeCell ref="B44:C44"/>
    <x:mergeCell ref="E44:F44"/>
    <x:mergeCell ref="J44:K44"/>
    <x:mergeCell ref="L44:M44"/>
    <x:mergeCell ref="B45:C45"/>
    <x:mergeCell ref="E45:F45"/>
    <x:mergeCell ref="J45:K45"/>
    <x:mergeCell ref="L45:M45"/>
    <x:mergeCell ref="B46:C46"/>
    <x:mergeCell ref="E46:F46"/>
    <x:mergeCell ref="J46:K46"/>
    <x:mergeCell ref="L46:M46"/>
    <x:mergeCell ref="B47:C47"/>
    <x:mergeCell ref="E47:F47"/>
    <x:mergeCell ref="J47:K47"/>
    <x:mergeCell ref="L47:M47"/>
    <x:mergeCell ref="B48:C48"/>
    <x:mergeCell ref="E48:F48"/>
    <x:mergeCell ref="J48:K48"/>
    <x:mergeCell ref="L48:M48"/>
    <x:mergeCell ref="B49:C49"/>
    <x:mergeCell ref="E49:F49"/>
    <x:mergeCell ref="J49:K49"/>
    <x:mergeCell ref="L49:M49"/>
    <x:mergeCell ref="B50:C50"/>
    <x:mergeCell ref="E50:F50"/>
    <x:mergeCell ref="J50:K50"/>
    <x:mergeCell ref="L50:M50"/>
    <x:mergeCell ref="B51:C51"/>
    <x:mergeCell ref="E51:F51"/>
    <x:mergeCell ref="J51:K51"/>
    <x:mergeCell ref="L51:M51"/>
    <x:mergeCell ref="B52:C52"/>
    <x:mergeCell ref="D52:F52"/>
    <x:mergeCell ref="J52:K52"/>
    <x:mergeCell ref="L52:M52"/>
    <x:mergeCell ref="L53:M53"/>
    <x:mergeCell ref="N53:O53"/>
    <x:mergeCell ref="F56:J56"/>
    <x:mergeCell ref="K56:P56"/>
    <x:mergeCell ref="K58:L58"/>
    <x:mergeCell ref="F59:H59"/>
    <x:mergeCell ref="K60:L60"/>
    <x:mergeCell ref="K62:L62"/>
    <x:mergeCell ref="N18:P19"/>
  </x:mergeCells>
  <x:conditionalFormatting sqref="A2:D2">
    <x:cfRule type="cellIs" dxfId="2" priority="1" stopIfTrue="1" operator="equal">
      <x:formula>"★需用电子关锁★"</x:formula>
    </x:cfRule>
  </x:conditionalFormatting>
  <x:dataValidations count="1">
    <x:dataValidation showInputMessage="1" showErrorMessage="1" sqref="F8:L8"/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9.816666603088379" defaultRowHeight="26.25"/>
  <x:cols>
    <x:col min="1" max="1" width="15.816666603088379" style="2" customWidth="1"/>
    <x:col min="2" max="2" width="22.90833282470703" style="2" customWidth="1"/>
    <x:col min="3" max="16384" width="9.816666603088379" style="2" customWidth="1"/>
  </x:cols>
  <x:sheetData>
    <x:row r="1" ht="33.75" customHeight="1">
      <x:c r="A1" s="3" t="s">
        <x:v>1630</x:v>
      </x:c>
      <x:c r="B1" s="4"/>
    </x:row>
    <x:row r="2" ht="33.75" customHeight="1">
      <x:c r="A2" s="3" t="s">
        <x:v>1631</x:v>
      </x:c>
      <x:c r="B2" s="4"/>
    </x:row>
    <x:row r="3" ht="33.75" customHeight="1">
      <x:c r="A3" s="3" t="s">
        <x:v>1632</x:v>
      </x:c>
      <x:c r="B3" s="4"/>
    </x:row>
    <x:row r="4" ht="33.75" customHeight="1">
      <x:c r="A4" s="3" t="s">
        <x:v>1633</x:v>
      </x:c>
      <x:c r="B4" s="4"/>
    </x:row>
    <x:row r="5" ht="33.75" customHeight="1">
      <x:c r="A5" s="3" t="s">
        <x:v>1634</x:v>
      </x:c>
      <x:c r="B5" s="4"/>
    </x:row>
    <x:row r="6" ht="33.75" customHeight="1">
      <x:c r="A6" s="3" t="s">
        <x:v>1635</x:v>
      </x:c>
      <x:c r="B6" s="4"/>
    </x:row>
    <x:row r="7" ht="33.75" customHeight="1">
      <x:c r="A7" s="3" t="s">
        <x:v>1636</x:v>
      </x:c>
      <x:c r="B7" s="4"/>
    </x:row>
    <x:row r="8" ht="33.75" customHeight="1">
      <x:c r="A8" s="3" t="s">
        <x:v>1637</x:v>
      </x:c>
      <x:c r="B8" s="4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ColWidth="8.891666412353516" defaultRowHeight="13.5"/>
  <x:cols>
    <x:col min="1" max="2" width="13.441666603088379" customWidth="1"/>
  </x:cols>
  <x:sheetData>
    <x:row r="1">
      <x:c r="A1" s="1" t="s">
        <x:v>1638</x:v>
      </x:c>
      <x:c r="B1" s="1" t="s">
        <x:v>1639</x:v>
      </x:c>
    </x:row>
    <x:row r="2">
      <x:c r="A2" s="1" t="s">
        <x:v>1640</x:v>
      </x:c>
      <x:c r="B2" s="1" t="s">
        <x:v>1641</x:v>
      </x:c>
    </x:row>
    <x:row r="3">
      <x:c r="A3" s="1" t="s">
        <x:v>1642</x:v>
      </x:c>
      <x:c r="B3" s="1" t="s">
        <x:v>1643</x:v>
      </x:c>
    </x:row>
    <x:row r="4">
      <x:c r="A4" s="1" t="s">
        <x:v>1644</x:v>
      </x:c>
      <x:c r="B4" s="1" t="s">
        <x:v>1645</x:v>
      </x:c>
    </x:row>
    <x:row r="5">
      <x:c r="A5" s="1" t="s">
        <x:v>1646</x:v>
      </x:c>
      <x:c r="B5" s="1" t="s">
        <x:v>1647</x:v>
      </x:c>
    </x:row>
    <x:row r="6">
      <x:c r="A6" s="1" t="s">
        <x:v>1648</x:v>
      </x:c>
      <x:c r="B6" s="1" t="s">
        <x:v>1649</x:v>
      </x:c>
    </x:row>
    <x:row r="7">
      <x:c r="A7" s="1" t="s">
        <x:v>1650</x:v>
      </x:c>
      <x:c r="B7" s="1" t="s">
        <x:v>1651</x:v>
      </x:c>
    </x:row>
    <x:row r="8">
      <x:c r="A8" s="1" t="s">
        <x:v>1652</x:v>
      </x:c>
      <x:c r="B8" s="1" t="s">
        <x:v>1653</x:v>
      </x:c>
    </x:row>
    <x:row r="9">
      <x:c r="A9" s="1" t="s">
        <x:v>1654</x:v>
      </x:c>
      <x:c r="B9" s="1" t="s">
        <x:v>1492</x:v>
      </x:c>
    </x:row>
    <x:row r="10">
      <x:c r="A10" s="1" t="s">
        <x:v>1655</x:v>
      </x:c>
      <x:c r="B10" s="1" t="s">
        <x:v>1417</x:v>
      </x:c>
    </x:row>
    <x:row r="11">
      <x:c r="A11" s="1" t="s">
        <x:v>1656</x:v>
      </x:c>
      <x:c r="B11" s="1" t="s">
        <x:v>1657</x:v>
      </x:c>
    </x:row>
    <x:row r="12">
      <x:c r="A12" s="1" t="s">
        <x:v>1658</x:v>
      </x:c>
      <x:c r="B12" s="1" t="s">
        <x:v>1659</x:v>
      </x:c>
    </x:row>
    <x:row r="13">
      <x:c r="A13" s="1" t="s">
        <x:v>1660</x:v>
      </x:c>
      <x:c r="B13" s="1" t="s">
        <x:v>1661</x:v>
      </x:c>
    </x:row>
    <x:row r="14">
      <x:c r="A14" s="1" t="s">
        <x:v>1662</x:v>
      </x:c>
      <x:c r="B14" s="1" t="s">
        <x:v>1663</x:v>
      </x:c>
    </x:row>
    <x:row r="15">
      <x:c r="A15" s="1" t="s">
        <x:v>1664</x:v>
      </x:c>
      <x:c r="B15" s="1" t="s">
        <x:v>1665</x:v>
      </x:c>
    </x:row>
    <x:row r="16">
      <x:c r="A16" s="1" t="s">
        <x:v>1666</x:v>
      </x:c>
      <x:c r="B16" s="1" t="s">
        <x:v>1667</x:v>
      </x:c>
    </x:row>
    <x:row r="17">
      <x:c r="A17" s="1" t="s">
        <x:v>1668</x:v>
      </x:c>
      <x:c r="B17" s="1" t="s">
        <x:v>1669</x:v>
      </x:c>
    </x:row>
    <x:row r="18">
      <x:c r="A18" s="1" t="s">
        <x:v>1670</x:v>
      </x:c>
      <x:c r="B18" s="1" t="s">
        <x:v>1484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